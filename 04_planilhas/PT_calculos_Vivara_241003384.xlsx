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T320" sheetId="2" state="visible" r:id="rId2"/>
    <sheet xmlns:r="http://schemas.openxmlformats.org/officeDocument/2006/relationships" name="PT500" sheetId="3" state="visible" r:id="rId3"/>
    <sheet xmlns:r="http://schemas.openxmlformats.org/officeDocument/2006/relationships" name="PT510" sheetId="4" state="visible" r:id="rId4"/>
    <sheet xmlns:r="http://schemas.openxmlformats.org/officeDocument/2006/relationships" name="PT520" sheetId="5" state="visible" r:id="rId5"/>
    <sheet xmlns:r="http://schemas.openxmlformats.org/officeDocument/2006/relationships" name="PT530_MUS" sheetId="6" state="visible" r:id="rId6"/>
    <sheet xmlns:r="http://schemas.openxmlformats.org/officeDocument/2006/relationships" name="PT530_Amostra" sheetId="7" state="visible" r:id="rId7"/>
    <sheet xmlns:r="http://schemas.openxmlformats.org/officeDocument/2006/relationships" name="PT530_Testes100" sheetId="8" state="visible" r:id="rId8"/>
    <sheet xmlns:r="http://schemas.openxmlformats.org/officeDocument/2006/relationships" name="PT450" sheetId="9" state="visible" r:id="rId9"/>
    <sheet xmlns:r="http://schemas.openxmlformats.org/officeDocument/2006/relationships" name="PT540_Arrend" sheetId="10" state="visible" r:id="rId10"/>
    <sheet xmlns:r="http://schemas.openxmlformats.org/officeDocument/2006/relationships" name="PT540_ProvEst" sheetId="11" state="visible" r:id="rId11"/>
    <sheet xmlns:r="http://schemas.openxmlformats.org/officeDocument/2006/relationships" name="PT570" sheetId="12" state="visible" r:id="rId12"/>
    <sheet xmlns:r="http://schemas.openxmlformats.org/officeDocument/2006/relationships" name="PT600" sheetId="13" state="visible" r:id="rId13"/>
    <sheet xmlns:r="http://schemas.openxmlformats.org/officeDocument/2006/relationships" name="PT50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#,##0.00;[Red]-#,##0.00"/>
    <numFmt numFmtId="166" formatCode="#,##0.0"/>
    <numFmt numFmtId="167" formatCode="0.000%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color rgb="007F7F7F"/>
      <sz val="8"/>
    </font>
    <font>
      <b val="1"/>
      <color rgb="00FFFFFF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0" fillId="3" borderId="0" pivotButton="0" quotePrefix="0" xfId="0"/>
    <xf numFmtId="10" fontId="0" fillId="3" borderId="0" pivotButton="0" quotePrefix="0" xfId="0"/>
    <xf numFmtId="164" fontId="0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6" fillId="0" borderId="0" pivotButton="0" quotePrefix="0" xfId="0"/>
    <xf numFmtId="165" fontId="0" fillId="4" borderId="0" pivotButton="0" quotePrefix="0" xfId="0"/>
    <xf numFmtId="164" fontId="0" fillId="4" borderId="0" pivotButton="0" quotePrefix="0" xfId="0"/>
    <xf numFmtId="2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Vivara Participações S.A. - Dossiê didático de auditoria (exercício 2025) - planilha de cálculos</t>
        </is>
      </c>
    </row>
    <row r="2">
      <c r="A2" t="inlineStr">
        <is>
          <t>UnB - Auditoria 1 (CCA0024) - Matrícula 241003384</t>
        </is>
      </c>
    </row>
    <row r="3">
      <c r="A3" t="inlineStr">
        <is>
          <t>Valores em R$ mil, exceto quando indicado (R$ nas abas da base simulada).</t>
        </is>
      </c>
    </row>
    <row r="4">
      <c r="A4" t="inlineStr">
        <is>
          <t>Células amarelas = dados de entrada públicos (com fonte). Células laranja = dados SINTÉTICOS (base simulada).</t>
        </is>
      </c>
    </row>
    <row r="5">
      <c r="A5" t="inlineStr">
        <is>
          <t>Demais células numéricas contêm fórmulas e podem ser alteradas para análise de sensibilidade.</t>
        </is>
      </c>
    </row>
    <row r="6">
      <c r="A6" t="inlineStr">
        <is>
          <t>Classificação dos procedimentos: Realizado com evidência pública | Planejado por falta de acesso | Simulado para fins didáticos.</t>
        </is>
      </c>
    </row>
    <row r="7">
      <c r="A7" t="inlineStr">
        <is>
          <t>Nenhum dado sintético representa registro real da companhia.</t>
        </is>
      </c>
    </row>
    <row r="8">
      <c r="A8" t="inlineStr">
        <is>
          <t>Abas: PT320 | PT500 | PT510 | PT520 | PT530_MUS | PT530_Amostra | PT530_Testes100 | PT450 | PT540_Arrend | PT540_ProvEst | PT570 | PT600 | PT505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22" customWidth="1" min="4" max="4"/>
    <col width="60" customWidth="1" min="5" max="5"/>
  </cols>
  <sheetData>
    <row r="1">
      <c r="A1" s="1" t="inlineStr">
        <is>
          <t>PT 320 - Materialidade</t>
        </is>
      </c>
    </row>
    <row r="2">
      <c r="A2" s="2" t="inlineStr">
        <is>
          <t>NBC TA 320 (R1) itens 10-14 e A3-A13 | Realizado com evidência pública</t>
        </is>
      </c>
    </row>
    <row r="3">
      <c r="A3" s="3" t="inlineStr">
        <is>
          <t>Preparadora: Rafaela de Sousa Barbosa - matrícula 241003384 | Data: 22/10/2026 | Conteúdo produzido com IA (ver README) | Revisão: ____________ (campo não preenchido)</t>
        </is>
      </c>
    </row>
    <row r="5">
      <c r="A5" s="4" t="inlineStr">
        <is>
          <t>Referencial</t>
        </is>
      </c>
      <c r="B5" s="4" t="inlineStr">
        <is>
          <t>Base (R$ mil)</t>
        </is>
      </c>
      <c r="C5" s="4" t="inlineStr">
        <is>
          <t>% aplicado</t>
        </is>
      </c>
      <c r="D5" s="4" t="inlineStr">
        <is>
          <t>Materialidade (R$ mil)</t>
        </is>
      </c>
      <c r="E5" s="4" t="inlineStr">
        <is>
          <t>Fonte</t>
        </is>
      </c>
    </row>
    <row r="6">
      <c r="A6" t="inlineStr">
        <is>
          <t>LAIR 2025</t>
        </is>
      </c>
      <c r="B6" s="5" t="n">
        <v>587798</v>
      </c>
      <c r="C6" s="6" t="n">
        <v>0.05</v>
      </c>
      <c r="D6" s="7">
        <f>B6*C6</f>
        <v/>
      </c>
      <c r="E6" t="inlineStr">
        <is>
          <t>DF25 p.20</t>
        </is>
      </c>
    </row>
    <row r="7">
      <c r="A7" t="inlineStr">
        <is>
          <t>LAIR médio 2023-2025</t>
        </is>
      </c>
      <c r="B7" s="5" t="n">
        <v>538293</v>
      </c>
      <c r="C7" s="6" t="n">
        <v>0.05</v>
      </c>
      <c r="D7" s="7">
        <f>B7*C7</f>
        <v/>
      </c>
      <c r="E7" t="inlineStr">
        <is>
          <t>DF25 p.20; DFP24 p.19</t>
        </is>
      </c>
    </row>
    <row r="8">
      <c r="A8" t="inlineStr">
        <is>
          <t>Receita líquida 2025</t>
        </is>
      </c>
      <c r="B8" s="5" t="n">
        <v>3026582</v>
      </c>
      <c r="C8" s="6" t="n">
        <v>0.01</v>
      </c>
      <c r="D8" s="7">
        <f>B8*C8</f>
        <v/>
      </c>
      <c r="E8" t="inlineStr">
        <is>
          <t>DF25 p.20</t>
        </is>
      </c>
    </row>
    <row r="9">
      <c r="A9" t="inlineStr">
        <is>
          <t>Receita líquida 2025 (0,5%)</t>
        </is>
      </c>
      <c r="B9" s="5" t="n">
        <v>3026582</v>
      </c>
      <c r="C9" s="6" t="n">
        <v>0.005</v>
      </c>
      <c r="D9" s="7">
        <f>B9*C9</f>
        <v/>
      </c>
      <c r="E9" t="inlineStr">
        <is>
          <t>DF25 p.20</t>
        </is>
      </c>
    </row>
    <row r="10">
      <c r="A10" t="inlineStr">
        <is>
          <t>Ativo total 2025</t>
        </is>
      </c>
      <c r="B10" s="5" t="n">
        <v>4722692</v>
      </c>
      <c r="C10" s="6" t="n">
        <v>0.01</v>
      </c>
      <c r="D10" s="7">
        <f>B10*C10</f>
        <v/>
      </c>
      <c r="E10" t="inlineStr">
        <is>
          <t>DF25 p.19</t>
        </is>
      </c>
    </row>
    <row r="11">
      <c r="A11" t="inlineStr">
        <is>
          <t>Patrimônio líquido 2025</t>
        </is>
      </c>
      <c r="B11" s="5" t="n">
        <v>2949564</v>
      </c>
      <c r="C11" s="6" t="n">
        <v>0.01</v>
      </c>
      <c r="D11" s="7">
        <f>B11*C11</f>
        <v/>
      </c>
      <c r="E11" t="inlineStr">
        <is>
          <t>DF25 p.19</t>
        </is>
      </c>
    </row>
    <row r="12">
      <c r="A12" t="inlineStr">
        <is>
          <t>Lucro bruto 2025</t>
        </is>
      </c>
      <c r="B12" s="5" t="n">
        <v>2105110</v>
      </c>
      <c r="C12" s="6" t="n">
        <v>0.01</v>
      </c>
      <c r="D12" s="7">
        <f>B12*C12</f>
        <v/>
      </c>
      <c r="E12" t="inlineStr">
        <is>
          <t>DF25 p.20</t>
        </is>
      </c>
    </row>
    <row r="14">
      <c r="A14" s="8" t="inlineStr">
        <is>
          <t>Materialidade global calculada (5% LAIR 2025)</t>
        </is>
      </c>
      <c r="D14" s="7">
        <f>D6</f>
        <v/>
      </c>
    </row>
    <row r="15">
      <c r="A15" s="8" t="inlineStr">
        <is>
          <t>Materialidade global adotada (arredondada para baixo)</t>
        </is>
      </c>
      <c r="D15" s="5" t="n">
        <v>29000</v>
      </c>
    </row>
    <row r="16">
      <c r="A16" t="inlineStr">
        <is>
          <t>% materialidade para execução (auditoria inicial)</t>
        </is>
      </c>
      <c r="D16" s="6" t="n">
        <v>0.6</v>
      </c>
    </row>
    <row r="17">
      <c r="A17" s="8" t="inlineStr">
        <is>
          <t>Materialidade para execução</t>
        </is>
      </c>
      <c r="D17" s="7">
        <f>D15*D16</f>
        <v/>
      </c>
    </row>
    <row r="18">
      <c r="A18" t="inlineStr">
        <is>
          <t>% limite claramente trivial</t>
        </is>
      </c>
      <c r="D18" s="6" t="n">
        <v>0.05</v>
      </c>
    </row>
    <row r="19">
      <c r="A19" s="8" t="inlineStr">
        <is>
          <t>Limite para distorções claramente triviais</t>
        </is>
      </c>
      <c r="D19" s="7">
        <f>D15*D18</f>
        <v/>
      </c>
    </row>
    <row r="21">
      <c r="A21" s="8" t="inlineStr">
        <is>
          <t>Materialidades específicas</t>
        </is>
      </c>
    </row>
    <row r="22">
      <c r="A22" t="inlineStr">
        <is>
          <t>Remuneração dos administradores (nota 19.3)</t>
        </is>
      </c>
      <c r="D22" s="7" t="n">
        <v>1200</v>
      </c>
      <c r="E22" t="inlineStr">
        <is>
          <t>≈10% do total de R$ 12.020 mil; sensibilidade dos usuários e limite aprovado em AGO</t>
        </is>
      </c>
    </row>
    <row r="23">
      <c r="A23" t="inlineStr">
        <is>
          <t>Transações e saldos com partes relacionadas (nota 19)</t>
        </is>
      </c>
      <c r="D23" s="7" t="n">
        <v>1450</v>
      </c>
      <c r="E23" t="inlineStr">
        <is>
          <t>limite trivial - natureza qualitativa (NBC TA 550)</t>
        </is>
      </c>
    </row>
    <row r="25">
      <c r="A25" s="8" t="inlineStr">
        <is>
          <t>Indicadores da MG adotada</t>
        </is>
      </c>
    </row>
    <row r="26">
      <c r="A26" t="inlineStr">
        <is>
          <t>MG / receita líquida</t>
        </is>
      </c>
      <c r="B26" s="5" t="n">
        <v>3026582</v>
      </c>
      <c r="D26" s="9">
        <f>D15/B26</f>
        <v/>
      </c>
    </row>
    <row r="27">
      <c r="A27" t="inlineStr">
        <is>
          <t>MG / ativo total</t>
        </is>
      </c>
      <c r="B27" s="5" t="n">
        <v>4722692</v>
      </c>
      <c r="D27" s="9">
        <f>D15/B27</f>
        <v/>
      </c>
    </row>
    <row r="28">
      <c r="A28" t="inlineStr">
        <is>
          <t>MG / patrimônio líquido</t>
        </is>
      </c>
      <c r="B28" s="5" t="n">
        <v>2949564</v>
      </c>
      <c r="D28" s="9">
        <f>D15/B28</f>
        <v/>
      </c>
    </row>
    <row r="29">
      <c r="A29" t="inlineStr">
        <is>
          <t>MG / lucro líquido</t>
        </is>
      </c>
      <c r="B29" s="5" t="n">
        <v>619502</v>
      </c>
      <c r="D29" s="9">
        <f>D15/B29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8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PT 500 - Conciliações e verificações de consistência das demonstrações (R$ mil)</t>
        </is>
      </c>
    </row>
    <row r="2">
      <c r="A2" s="2" t="inlineStr">
        <is>
          <t>NBC TA 500 (R1) itens 6-9, A26-A33 | Realizado com evidência pública</t>
        </is>
      </c>
    </row>
    <row r="3">
      <c r="A3" s="3" t="inlineStr">
        <is>
          <t>Preparadora: Rafaela de Sousa Barbosa - matrícula 241003384 | Data: 22/10/2026 | Conteúdo produzido com IA (ver README) | Revisão: ____________ (campo não preenchido)</t>
        </is>
      </c>
    </row>
    <row r="5">
      <c r="A5" s="4" t="inlineStr">
        <is>
          <t>Verificação</t>
        </is>
      </c>
      <c r="B5" s="4" t="inlineStr">
        <is>
          <t>Calculado</t>
        </is>
      </c>
      <c r="C5" s="4" t="inlineStr">
        <is>
          <t>Divulgado</t>
        </is>
      </c>
      <c r="D5" s="4" t="inlineStr">
        <is>
          <t>Diferença</t>
        </is>
      </c>
      <c r="E5" s="4" t="inlineStr">
        <is>
          <t>Status</t>
        </is>
      </c>
      <c r="F5" s="4" t="inlineStr">
        <is>
          <t>Fonte</t>
        </is>
      </c>
    </row>
    <row r="6">
      <c r="A6" t="inlineStr">
        <is>
          <t>Ativo circulante = soma dos itens</t>
        </is>
      </c>
      <c r="B6" s="10" t="n">
        <v>3064599</v>
      </c>
      <c r="C6" s="11" t="n">
        <v>3064599</v>
      </c>
      <c r="D6" s="10">
        <f>B6-C6</f>
        <v/>
      </c>
      <c r="E6" t="inlineStr">
        <is>
          <t>OK</t>
        </is>
      </c>
      <c r="F6" t="inlineStr">
        <is>
          <t>DF25 p.19</t>
        </is>
      </c>
    </row>
    <row r="7">
      <c r="A7" t="inlineStr">
        <is>
          <t>Realizável a LP = soma dos itens</t>
        </is>
      </c>
      <c r="B7" s="10" t="n">
        <v>642808</v>
      </c>
      <c r="C7" s="11" t="n">
        <v>642808</v>
      </c>
      <c r="D7" s="10">
        <f>B7-C7</f>
        <v/>
      </c>
      <c r="E7" t="inlineStr">
        <is>
          <t>OK</t>
        </is>
      </c>
      <c r="F7" t="inlineStr">
        <is>
          <t>DF25 p.19</t>
        </is>
      </c>
    </row>
    <row r="8">
      <c r="A8" t="inlineStr">
        <is>
          <t>Ativo não circulante = RLP + imobilizado + intangível</t>
        </is>
      </c>
      <c r="B8" s="10" t="n">
        <v>1658093</v>
      </c>
      <c r="C8" s="11" t="n">
        <v>1658093</v>
      </c>
      <c r="D8" s="10">
        <f>B8-C8</f>
        <v/>
      </c>
      <c r="E8" t="inlineStr">
        <is>
          <t>OK</t>
        </is>
      </c>
      <c r="F8" t="inlineStr">
        <is>
          <t>DF25 p.19</t>
        </is>
      </c>
    </row>
    <row r="9">
      <c r="A9" t="inlineStr">
        <is>
          <t>Ativo total = AC + ANC</t>
        </is>
      </c>
      <c r="B9" s="10" t="n">
        <v>4722692</v>
      </c>
      <c r="C9" s="11" t="n">
        <v>4722692</v>
      </c>
      <c r="D9" s="10">
        <f>B9-C9</f>
        <v/>
      </c>
      <c r="E9" t="inlineStr">
        <is>
          <t>OK</t>
        </is>
      </c>
      <c r="F9" t="inlineStr">
        <is>
          <t>DF25 p.19</t>
        </is>
      </c>
    </row>
    <row r="10">
      <c r="A10" t="inlineStr">
        <is>
          <t>Passivo circulante = soma dos itens</t>
        </is>
      </c>
      <c r="B10" s="10" t="n">
        <v>843949</v>
      </c>
      <c r="C10" s="11" t="n">
        <v>843949</v>
      </c>
      <c r="D10" s="10">
        <f>B10-C10</f>
        <v/>
      </c>
      <c r="E10" t="inlineStr">
        <is>
          <t>OK</t>
        </is>
      </c>
      <c r="F10" t="inlineStr">
        <is>
          <t>DF25 p.19</t>
        </is>
      </c>
    </row>
    <row r="11">
      <c r="A11" t="inlineStr">
        <is>
          <t>Passivo não circulante = soma dos itens</t>
        </is>
      </c>
      <c r="B11" s="10" t="n">
        <v>929179</v>
      </c>
      <c r="C11" s="11" t="n">
        <v>929179</v>
      </c>
      <c r="D11" s="10">
        <f>B11-C11</f>
        <v/>
      </c>
      <c r="E11" t="inlineStr">
        <is>
          <t>OK</t>
        </is>
      </c>
      <c r="F11" t="inlineStr">
        <is>
          <t>DF25 p.19</t>
        </is>
      </c>
    </row>
    <row r="12">
      <c r="A12" t="inlineStr">
        <is>
          <t>PL = soma dos itens</t>
        </is>
      </c>
      <c r="B12" s="10" t="n">
        <v>2949564</v>
      </c>
      <c r="C12" s="11" t="n">
        <v>2949564</v>
      </c>
      <c r="D12" s="10">
        <f>B12-C12</f>
        <v/>
      </c>
      <c r="E12" t="inlineStr">
        <is>
          <t>OK</t>
        </is>
      </c>
      <c r="F12" t="inlineStr">
        <is>
          <t>DF25 p.19</t>
        </is>
      </c>
    </row>
    <row r="13">
      <c r="A13" t="inlineStr">
        <is>
          <t>Passivo + PL = Ativo total</t>
        </is>
      </c>
      <c r="B13" s="10" t="n">
        <v>4722692</v>
      </c>
      <c r="C13" s="11" t="n">
        <v>4722692</v>
      </c>
      <c r="D13" s="10">
        <f>B13-C13</f>
        <v/>
      </c>
      <c r="E13" t="inlineStr">
        <is>
          <t>OK</t>
        </is>
      </c>
      <c r="F13" t="inlineStr">
        <is>
          <t>DF25 p.19</t>
        </is>
      </c>
    </row>
    <row r="14">
      <c r="A14" t="inlineStr">
        <is>
          <t>DRE: lucro líquido = LAIR + IR/CS</t>
        </is>
      </c>
      <c r="B14" s="10" t="n">
        <v>619502</v>
      </c>
      <c r="C14" s="11" t="n">
        <v>619502</v>
      </c>
      <c r="D14" s="10">
        <f>B14-C14</f>
        <v/>
      </c>
      <c r="E14" t="inlineStr">
        <is>
          <t>OK</t>
        </is>
      </c>
      <c r="F14" t="inlineStr">
        <is>
          <t>DF25 p.20</t>
        </is>
      </c>
    </row>
    <row r="15">
      <c r="A15" t="inlineStr">
        <is>
          <t>DRE: LAIR = EBIT + resultado financeiro</t>
        </is>
      </c>
      <c r="B15" s="10" t="n">
        <v>587798</v>
      </c>
      <c r="C15" s="11" t="n">
        <v>587798</v>
      </c>
      <c r="D15" s="10">
        <f>B15-C15</f>
        <v/>
      </c>
      <c r="E15" t="inlineStr">
        <is>
          <t>OK</t>
        </is>
      </c>
      <c r="F15" t="inlineStr">
        <is>
          <t>DF25 p.20</t>
        </is>
      </c>
    </row>
    <row r="16">
      <c r="A16" t="inlineStr">
        <is>
          <t>DFC: variação de caixa = operacional + investimento + financiamento</t>
        </is>
      </c>
      <c r="B16" s="10" t="n">
        <v>120491</v>
      </c>
      <c r="C16" s="11" t="n">
        <v>120491</v>
      </c>
      <c r="D16" s="10">
        <f>B16-C16</f>
        <v/>
      </c>
      <c r="E16" t="inlineStr">
        <is>
          <t>OK</t>
        </is>
      </c>
      <c r="F16" t="inlineStr">
        <is>
          <t>DF25 p.23</t>
        </is>
      </c>
    </row>
    <row r="17">
      <c r="A17" t="inlineStr">
        <is>
          <t>DFC: caixa final = BP</t>
        </is>
      </c>
      <c r="B17" s="10" t="n">
        <v>398644</v>
      </c>
      <c r="C17" s="11" t="n">
        <v>398644</v>
      </c>
      <c r="D17" s="10">
        <f>B17-C17</f>
        <v/>
      </c>
      <c r="E17" t="inlineStr">
        <is>
          <t>OK</t>
        </is>
      </c>
      <c r="F17" t="inlineStr">
        <is>
          <t>DF25 p.23 x p.19</t>
        </is>
      </c>
    </row>
    <row r="18">
      <c r="A18" t="inlineStr">
        <is>
          <t>Nota 7.2: composição = estoques no BP</t>
        </is>
      </c>
      <c r="B18" s="10" t="n">
        <v>1478926</v>
      </c>
      <c r="C18" s="11" t="n">
        <v>1478926</v>
      </c>
      <c r="D18" s="10">
        <f>B18-C18</f>
        <v/>
      </c>
      <c r="E18" t="inlineStr">
        <is>
          <t>OK</t>
        </is>
      </c>
      <c r="F18" t="inlineStr">
        <is>
          <t>DF25 p.30 x p.19</t>
        </is>
      </c>
    </row>
    <row r="19">
      <c r="A19" t="inlineStr">
        <is>
          <t>Nota 7.3: provisão (fim) = base do IR diferido 2025 (nota 20.9)</t>
        </is>
      </c>
      <c r="B19" s="10" t="n">
        <v>4688</v>
      </c>
      <c r="C19" s="11" t="n">
        <v>4688</v>
      </c>
      <c r="D19" s="10">
        <f>B19-C19</f>
        <v/>
      </c>
      <c r="E19" t="inlineStr">
        <is>
          <t>OK</t>
        </is>
      </c>
      <c r="F19" t="inlineStr">
        <is>
          <t>DF25 p.31 x p.52</t>
        </is>
      </c>
    </row>
    <row r="20">
      <c r="A20" t="inlineStr">
        <is>
          <t>Nota 7.3: provisão (fim) 2024 = base do IR diferido 2024 (nota 20.9)</t>
        </is>
      </c>
      <c r="B20" s="10" t="n">
        <v>5217</v>
      </c>
      <c r="C20" s="11" t="n">
        <v>5401</v>
      </c>
      <c r="D20" s="10">
        <f>B20-C20</f>
        <v/>
      </c>
      <c r="E20" s="12" t="inlineStr">
        <is>
          <t>DIVERGENCIA</t>
        </is>
      </c>
      <c r="F20" t="inlineStr">
        <is>
          <t>DF25 p.31 x p.52</t>
        </is>
      </c>
    </row>
    <row r="21">
      <c r="A21" t="inlineStr">
        <is>
          <t>Nota 7.3: movimentação da provisão</t>
        </is>
      </c>
      <c r="B21" s="10" t="n">
        <v>-4688</v>
      </c>
      <c r="C21" s="11" t="n">
        <v>-4688</v>
      </c>
      <c r="D21" s="10">
        <f>B21-C21</f>
        <v/>
      </c>
      <c r="E21" t="inlineStr">
        <is>
          <t>OK</t>
        </is>
      </c>
      <c r="F21" t="inlineStr">
        <is>
          <t>DF25 p.31</t>
        </is>
      </c>
    </row>
    <row r="22">
      <c r="A22" t="inlineStr">
        <is>
          <t>DFC: ajuste 'provisão para perdas de estoque' = -(provisões + reversões) (nota 7.3)</t>
        </is>
      </c>
      <c r="B22" s="10" t="n">
        <v>-529</v>
      </c>
      <c r="C22" s="11" t="n">
        <v>-529</v>
      </c>
      <c r="D22" s="10">
        <f>B22-C22</f>
        <v/>
      </c>
      <c r="E22" t="inlineStr">
        <is>
          <t>OK</t>
        </is>
      </c>
      <c r="F22" t="inlineStr">
        <is>
          <t>DF25 p.23 x p.31</t>
        </is>
      </c>
    </row>
    <row r="23">
      <c r="A23" t="inlineStr">
        <is>
          <t>Nota 6.2: contas a receber líquido = BP</t>
        </is>
      </c>
      <c r="B23" s="10" t="n">
        <v>989601</v>
      </c>
      <c r="C23" s="11" t="n">
        <v>989601</v>
      </c>
      <c r="D23" s="10">
        <f>B23-C23</f>
        <v/>
      </c>
      <c r="E23" t="inlineStr">
        <is>
          <t>OK</t>
        </is>
      </c>
      <c r="F23" t="inlineStr">
        <is>
          <t>DF25 p.29 x p.19</t>
        </is>
      </c>
    </row>
    <row r="24">
      <c r="A24" t="inlineStr">
        <is>
          <t>Nota 10.4: imobilizado líquido = BP</t>
        </is>
      </c>
      <c r="B24" s="10" t="n">
        <v>955347</v>
      </c>
      <c r="C24" s="11" t="n">
        <v>955347</v>
      </c>
      <c r="D24" s="10">
        <f>B24-C24</f>
        <v/>
      </c>
      <c r="E24" t="inlineStr">
        <is>
          <t>OK</t>
        </is>
      </c>
      <c r="F24" t="inlineStr">
        <is>
          <t>DF25 p.35 x p.19</t>
        </is>
      </c>
    </row>
    <row r="25">
      <c r="A25" t="inlineStr">
        <is>
          <t>Nota 15.1: empréstimos CP + LP = BP</t>
        </is>
      </c>
      <c r="B25" s="10" t="n">
        <v>531276</v>
      </c>
      <c r="C25" s="11" t="n">
        <v>531276</v>
      </c>
      <c r="D25" s="10">
        <f>B25-C25</f>
        <v/>
      </c>
      <c r="E25" t="inlineStr">
        <is>
          <t>OK</t>
        </is>
      </c>
      <c r="F25" t="inlineStr">
        <is>
          <t>DF25 p.40 x p.19</t>
        </is>
      </c>
    </row>
    <row r="26">
      <c r="A26" t="inlineStr">
        <is>
          <t>Nota 15.1: total líquido de derivativos</t>
        </is>
      </c>
      <c r="B26" s="10" t="n">
        <v>554005</v>
      </c>
      <c r="C26" s="11" t="n">
        <v>554005</v>
      </c>
      <c r="D26" s="10">
        <f>B26-C26</f>
        <v/>
      </c>
      <c r="E26" t="inlineStr">
        <is>
          <t>OK</t>
        </is>
      </c>
      <c r="F26" t="inlineStr">
        <is>
          <t>DF25 p.40</t>
        </is>
      </c>
    </row>
    <row r="27">
      <c r="A27" t="inlineStr">
        <is>
          <t>Nota 17.1: provisões = BP</t>
        </is>
      </c>
      <c r="B27" s="10" t="n">
        <v>26937</v>
      </c>
      <c r="C27" s="11" t="n">
        <v>26937</v>
      </c>
      <c r="D27" s="10">
        <f>B27-C27</f>
        <v/>
      </c>
      <c r="E27" t="inlineStr">
        <is>
          <t>OK</t>
        </is>
      </c>
      <c r="F27" t="inlineStr">
        <is>
          <t>DF25 p.41 x p.19</t>
        </is>
      </c>
    </row>
    <row r="28">
      <c r="A28" t="inlineStr">
        <is>
          <t>FRE item 4.4: provisões (R$) x nota 17.1</t>
        </is>
      </c>
      <c r="B28" s="10" t="n">
        <v>26936.59</v>
      </c>
      <c r="C28" s="11" t="n">
        <v>26937</v>
      </c>
      <c r="D28" s="10">
        <f>B28-C28</f>
        <v/>
      </c>
      <c r="E28" t="inlineStr">
        <is>
          <t>OK</t>
        </is>
      </c>
      <c r="F28" t="inlineStr">
        <is>
          <t>FRE p.116 x DF25 p.41</t>
        </is>
      </c>
    </row>
    <row r="29">
      <c r="A29" t="inlineStr">
        <is>
          <t>Nota 28: passivo de arrendamento CP + LP = BP</t>
        </is>
      </c>
      <c r="B29" s="10" t="n">
        <v>682705</v>
      </c>
      <c r="C29" s="11" t="n">
        <v>682705</v>
      </c>
      <c r="D29" s="10">
        <f>B29-C29</f>
        <v/>
      </c>
      <c r="E29" t="inlineStr">
        <is>
          <t>OK</t>
        </is>
      </c>
      <c r="F29" t="inlineStr">
        <is>
          <t>DF25 p.58 x p.19</t>
        </is>
      </c>
    </row>
    <row r="30">
      <c r="A30" t="inlineStr">
        <is>
          <t>Nota 28: fluxos não descontados - juros embutidos = passivo</t>
        </is>
      </c>
      <c r="B30" s="10" t="n">
        <v>682705</v>
      </c>
      <c r="C30" s="11" t="n">
        <v>682705</v>
      </c>
      <c r="D30" s="10">
        <f>B30-C30</f>
        <v/>
      </c>
      <c r="E30" t="inlineStr">
        <is>
          <t>OK</t>
        </is>
      </c>
      <c r="F30" t="inlineStr">
        <is>
          <t>DF25 p.60</t>
        </is>
      </c>
    </row>
    <row r="31">
      <c r="A31" t="inlineStr">
        <is>
          <t>Nota 28: movimentação do passivo</t>
        </is>
      </c>
      <c r="B31" s="10" t="n">
        <v>682705</v>
      </c>
      <c r="C31" s="11" t="n">
        <v>682705</v>
      </c>
      <c r="D31" s="10">
        <f>B31-C31</f>
        <v/>
      </c>
      <c r="E31" t="inlineStr">
        <is>
          <t>OK</t>
        </is>
      </c>
      <c r="F31" t="inlineStr">
        <is>
          <t>DF25 p.59</t>
        </is>
      </c>
    </row>
    <row r="32">
      <c r="A32" t="inlineStr">
        <is>
          <t>Nota 20.9: IR/CS diferidos líquidos = BP</t>
        </is>
      </c>
      <c r="B32" s="10" t="n">
        <v>568590</v>
      </c>
      <c r="C32" s="11" t="n">
        <v>568590</v>
      </c>
      <c r="D32" s="10">
        <f>B32-C32</f>
        <v/>
      </c>
      <c r="E32" t="inlineStr">
        <is>
          <t>OK</t>
        </is>
      </c>
      <c r="F32" t="inlineStr">
        <is>
          <t>DF25 p.52 x p.19</t>
        </is>
      </c>
    </row>
    <row r="33">
      <c r="A33" t="inlineStr">
        <is>
          <t>Nota 21.2: composição = receita líquida</t>
        </is>
      </c>
      <c r="B33" s="10" t="n">
        <v>3026582</v>
      </c>
      <c r="C33" s="11" t="n">
        <v>3026582</v>
      </c>
      <c r="D33" s="10">
        <f>B33-C33</f>
        <v/>
      </c>
      <c r="E33" t="inlineStr">
        <is>
          <t>OK</t>
        </is>
      </c>
      <c r="F33" t="inlineStr">
        <is>
          <t>DF25 p.53 x p.20</t>
        </is>
      </c>
    </row>
    <row r="34">
      <c r="A34" t="inlineStr">
        <is>
          <t>Nota 23: receita por categoria = bruta - devoluções (nota 21.2)</t>
        </is>
      </c>
      <c r="B34" s="10" t="n">
        <v>3801302</v>
      </c>
      <c r="C34" s="11" t="n">
        <v>3801302</v>
      </c>
      <c r="D34" s="10">
        <f>B34-C34</f>
        <v/>
      </c>
      <c r="E34" t="inlineStr">
        <is>
          <t>OK</t>
        </is>
      </c>
      <c r="F34" t="inlineStr">
        <is>
          <t>DF25 p.55 x p.53</t>
        </is>
      </c>
    </row>
    <row r="35">
      <c r="A35" t="inlineStr">
        <is>
          <t>Nota 18.4: dividendo mínimo = 25% x (LL - reserva legal)</t>
        </is>
      </c>
      <c r="B35" s="10" t="n">
        <v>147132</v>
      </c>
      <c r="C35" s="11" t="n">
        <v>147132</v>
      </c>
      <c r="D35" s="10">
        <f>B35-C35</f>
        <v/>
      </c>
      <c r="E35" t="inlineStr">
        <is>
          <t>OK</t>
        </is>
      </c>
      <c r="F35" t="inlineStr">
        <is>
          <t>DF25 p.46</t>
        </is>
      </c>
    </row>
    <row r="36">
      <c r="A36" t="inlineStr">
        <is>
          <t>AGO: lucro líquido (R$) x DRE</t>
        </is>
      </c>
      <c r="B36" s="10" t="n">
        <v>619502.3</v>
      </c>
      <c r="C36" s="11" t="n">
        <v>619502</v>
      </c>
      <c r="D36" s="10">
        <f>B36-C36</f>
        <v/>
      </c>
      <c r="E36" t="inlineStr">
        <is>
          <t>OK</t>
        </is>
      </c>
      <c r="F36" t="inlineStr">
        <is>
          <t>AGO p.14 x DF25 p.20</t>
        </is>
      </c>
    </row>
    <row r="37">
      <c r="A37" t="inlineStr">
        <is>
          <t>AGO: reserva estatutária (R$) = lucro ajustado - dividendos</t>
        </is>
      </c>
      <c r="B37" s="10" t="n">
        <v>424527183.98</v>
      </c>
      <c r="C37" s="11" t="n">
        <v>424527183.92</v>
      </c>
      <c r="D37" s="10">
        <f>B37-C37</f>
        <v/>
      </c>
      <c r="E37" s="12" t="inlineStr">
        <is>
          <t>DIVERGENCIA</t>
        </is>
      </c>
      <c r="F37" t="inlineStr">
        <is>
          <t>AGO p.15</t>
        </is>
      </c>
    </row>
    <row r="38">
      <c r="A38" t="inlineStr">
        <is>
          <t>Nota 20.8: IR/CS diferidos na conciliação x DRE</t>
        </is>
      </c>
      <c r="B38" s="10" t="n">
        <v>139324</v>
      </c>
      <c r="C38" s="11" t="n">
        <v>139322</v>
      </c>
      <c r="D38" s="10">
        <f>B38-C38</f>
        <v/>
      </c>
      <c r="E38" s="12" t="inlineStr">
        <is>
          <t>DIVERGENCIA</t>
        </is>
      </c>
      <c r="F38" t="inlineStr">
        <is>
          <t>DF25 p.51 x p.20</t>
        </is>
      </c>
    </row>
    <row r="39">
      <c r="A39" t="inlineStr">
        <is>
          <t>Nota 9.4: investimentos (controladora) = soma das controladas</t>
        </is>
      </c>
      <c r="B39" s="10" t="n">
        <v>3230468</v>
      </c>
      <c r="C39" s="11" t="n">
        <v>3230468</v>
      </c>
      <c r="D39" s="10">
        <f>B39-C39</f>
        <v/>
      </c>
      <c r="E39" t="inlineStr">
        <is>
          <t>OK</t>
        </is>
      </c>
      <c r="F39" t="inlineStr">
        <is>
          <t>DF25 p.33</t>
        </is>
      </c>
    </row>
    <row r="40">
      <c r="A40" t="inlineStr">
        <is>
          <t>Nota 9.2: Tellerina - total do passivo e PL divulgado x total do ativo</t>
        </is>
      </c>
      <c r="B40" s="10" t="n">
        <v>5427730</v>
      </c>
      <c r="C40" s="11" t="n">
        <v>5360640</v>
      </c>
      <c r="D40" s="10">
        <f>B40-C40</f>
        <v/>
      </c>
      <c r="E40" s="12" t="inlineStr">
        <is>
          <t>DIVERGENCIA</t>
        </is>
      </c>
      <c r="F40" t="inlineStr">
        <is>
          <t>DF25 p.32</t>
        </is>
      </c>
    </row>
    <row r="41">
      <c r="A41" t="inlineStr">
        <is>
          <t>Nota 9.2: Conipa - total do passivo e PL divulgado x total do ativo</t>
        </is>
      </c>
      <c r="B41" s="10" t="n">
        <v>3239576</v>
      </c>
      <c r="C41" s="11" t="n">
        <v>4114502</v>
      </c>
      <c r="D41" s="10">
        <f>B41-C41</f>
        <v/>
      </c>
      <c r="E41" s="12" t="inlineStr">
        <is>
          <t>DIVERGENCIA</t>
        </is>
      </c>
      <c r="F41" t="inlineStr">
        <is>
          <t>DF25 p.32</t>
        </is>
      </c>
    </row>
    <row r="42">
      <c r="A42" t="inlineStr">
        <is>
          <t>Nota 9.2: Tellerina Panama - total do passivo e PL divulgado x total do ativo</t>
        </is>
      </c>
      <c r="B42" s="10" t="n">
        <v>19134</v>
      </c>
      <c r="C42" s="11" t="n">
        <v>17650</v>
      </c>
      <c r="D42" s="10">
        <f>B42-C42</f>
        <v/>
      </c>
      <c r="E42" s="12" t="inlineStr">
        <is>
          <t>DIVERGENCIA</t>
        </is>
      </c>
      <c r="F42" t="inlineStr">
        <is>
          <t>DF25 p.32</t>
        </is>
      </c>
    </row>
    <row r="43">
      <c r="A43" t="inlineStr">
        <is>
          <t>Depreciação e amortização: DFC x notas 10.6 + 11.2</t>
        </is>
      </c>
      <c r="B43" s="10" t="n">
        <v>162855</v>
      </c>
      <c r="C43" s="11" t="n">
        <v>162855</v>
      </c>
      <c r="D43" s="10">
        <f>B43-C43</f>
        <v/>
      </c>
      <c r="E43" t="inlineStr">
        <is>
          <t>OK</t>
        </is>
      </c>
      <c r="F43" t="inlineStr">
        <is>
          <t>DF25 p.23 x p.36-37</t>
        </is>
      </c>
    </row>
    <row r="44">
      <c r="A44" t="inlineStr">
        <is>
          <t>Depreciação e amortização: DFC x nota 22 (custo + vendas + G&amp;A)</t>
        </is>
      </c>
      <c r="B44" s="10" t="n">
        <v>152836</v>
      </c>
      <c r="C44" s="11" t="n">
        <v>162855</v>
      </c>
      <c r="D44" s="10">
        <f>B44-C44</f>
        <v/>
      </c>
      <c r="E44" s="12" t="inlineStr">
        <is>
          <t>DIVERGENCIA</t>
        </is>
      </c>
      <c r="F44" t="inlineStr">
        <is>
          <t>DF25 p.23 x p.53-54</t>
        </is>
      </c>
    </row>
    <row r="45">
      <c r="A45" t="inlineStr">
        <is>
          <t>Nota 29.3: 'fornecedores e outras contas a pagar' 2024 x BP 2024</t>
        </is>
      </c>
      <c r="B45" s="10" t="n">
        <v>93654</v>
      </c>
      <c r="C45" s="11" t="n">
        <v>158736</v>
      </c>
      <c r="D45" s="10">
        <f>B45-C45</f>
        <v/>
      </c>
      <c r="E45" s="12" t="inlineStr">
        <is>
          <t>DIVERGENCIA</t>
        </is>
      </c>
      <c r="F45" t="inlineStr">
        <is>
          <t>DF25 p.63 x p.19</t>
        </is>
      </c>
    </row>
    <row r="46">
      <c r="A46" t="inlineStr">
        <is>
          <t>Nota 29.3: dividendos a pagar consolidado 2025 x BP</t>
        </is>
      </c>
      <c r="B46" s="10" t="n">
        <v>0</v>
      </c>
      <c r="C46" s="11" t="n">
        <v>10</v>
      </c>
      <c r="D46" s="10">
        <f>B46-C46</f>
        <v/>
      </c>
      <c r="E46" s="12" t="inlineStr">
        <is>
          <t>DIVERGENCIA</t>
        </is>
      </c>
      <c r="F46" t="inlineStr">
        <is>
          <t>DF25 p.63 x p.19</t>
        </is>
      </c>
    </row>
    <row r="47">
      <c r="A47" t="inlineStr">
        <is>
          <t>ITR 1T26: comparativo 31/12/2025 - ativo total x DF 2025</t>
        </is>
      </c>
      <c r="B47" s="10" t="n">
        <v>4722693</v>
      </c>
      <c r="C47" s="11" t="n">
        <v>4722692</v>
      </c>
      <c r="D47" s="10">
        <f>B47-C47</f>
        <v/>
      </c>
      <c r="E47" s="12" t="inlineStr">
        <is>
          <t>DIVERGENCIA</t>
        </is>
      </c>
      <c r="F47" t="inlineStr">
        <is>
          <t>ITR1 p.5 x DF25 p.19</t>
        </is>
      </c>
    </row>
    <row r="48">
      <c r="A48" t="inlineStr">
        <is>
          <t>ITR 1T26: comparativo 31/12/2025 - PL x DF 2025</t>
        </is>
      </c>
      <c r="B48" s="10" t="n">
        <v>2949567</v>
      </c>
      <c r="C48" s="11" t="n">
        <v>2949564</v>
      </c>
      <c r="D48" s="10">
        <f>B48-C48</f>
        <v/>
      </c>
      <c r="E48" s="12" t="inlineStr">
        <is>
          <t>DIVERGENCIA</t>
        </is>
      </c>
      <c r="F48" t="inlineStr">
        <is>
          <t>ITR1 p.5 x DF25 p.19</t>
        </is>
      </c>
    </row>
    <row r="49">
      <c r="A49" t="inlineStr">
        <is>
          <t>ITR 1T26: comparativo 31/12/2025 - reservas de lucros x DF 2025</t>
        </is>
      </c>
      <c r="B49" s="10" t="n">
        <v>455502</v>
      </c>
      <c r="C49" s="11" t="n">
        <v>455500</v>
      </c>
      <c r="D49" s="10">
        <f>B49-C49</f>
        <v/>
      </c>
      <c r="E49" s="12" t="inlineStr">
        <is>
          <t>DIVERGENCIA</t>
        </is>
      </c>
      <c r="F49" t="inlineStr">
        <is>
          <t>ITR1 p.5 x DF25 p.19</t>
        </is>
      </c>
    </row>
    <row r="51">
      <c r="A51" s="8" t="inlineStr">
        <is>
          <t>Conciliação da base simulada com o saldo contábil (R$) - SIMULADO</t>
        </is>
      </c>
    </row>
    <row r="52">
      <c r="A52" s="4" t="inlineStr">
        <is>
          <t>Item</t>
        </is>
      </c>
      <c r="B52" s="4" t="inlineStr">
        <is>
          <t>Base simulada (R$)</t>
        </is>
      </c>
      <c r="C52" s="4" t="inlineStr">
        <is>
          <t>Contábil (R$)</t>
        </is>
      </c>
      <c r="D52" s="4" t="inlineStr">
        <is>
          <t>Diferença</t>
        </is>
      </c>
      <c r="E52" s="4" t="inlineStr"/>
      <c r="F52" s="4" t="inlineStr">
        <is>
          <t>Fonte contábil</t>
        </is>
      </c>
    </row>
    <row r="53">
      <c r="A53" t="inlineStr">
        <is>
          <t>Saldo líquido - PRODUTO_ACABADO</t>
        </is>
      </c>
      <c r="B53" s="13" t="n">
        <v>978949000</v>
      </c>
      <c r="C53" s="11" t="n">
        <v>978949000</v>
      </c>
      <c r="D53" s="10">
        <f>B53-C53</f>
        <v/>
      </c>
      <c r="F53" t="inlineStr">
        <is>
          <t>DF25 nota 7.2, p.30</t>
        </is>
      </c>
    </row>
    <row r="54">
      <c r="A54" t="inlineStr">
        <is>
          <t>Saldo líquido - MATERIA_PRIMA</t>
        </is>
      </c>
      <c r="B54" s="13" t="n">
        <v>443046000</v>
      </c>
      <c r="C54" s="11" t="n">
        <v>443046000</v>
      </c>
      <c r="D54" s="10">
        <f>B54-C54</f>
        <v/>
      </c>
      <c r="F54" t="inlineStr">
        <is>
          <t>DF25 nota 7.2, p.30</t>
        </is>
      </c>
    </row>
    <row r="55">
      <c r="A55" t="inlineStr">
        <is>
          <t>Saldo líquido - MAT_CONSUMO_EMBALAGEM</t>
        </is>
      </c>
      <c r="B55" s="13" t="n">
        <v>56459000</v>
      </c>
      <c r="C55" s="11" t="n">
        <v>56459000</v>
      </c>
      <c r="D55" s="10">
        <f>B55-C55</f>
        <v/>
      </c>
      <c r="F55" t="inlineStr">
        <is>
          <t>DF25 nota 7.2, p.30</t>
        </is>
      </c>
    </row>
    <row r="56">
      <c r="A56" t="inlineStr">
        <is>
          <t>Saldo líquido - EM_TRANSITO</t>
        </is>
      </c>
      <c r="B56" s="13" t="n">
        <v>472000</v>
      </c>
      <c r="C56" s="11" t="n">
        <v>472000</v>
      </c>
      <c r="D56" s="10">
        <f>B56-C56</f>
        <v/>
      </c>
      <c r="F56" t="inlineStr">
        <is>
          <t>DF25 nota 7.2, p.30</t>
        </is>
      </c>
    </row>
    <row r="57">
      <c r="A57" t="inlineStr">
        <is>
          <t>Total estoques (líquido)</t>
        </is>
      </c>
      <c r="B57" s="13" t="n">
        <v>1478926000</v>
      </c>
      <c r="C57" s="11" t="n">
        <v>1478926000</v>
      </c>
      <c r="D57" s="10">
        <f>B57-C57</f>
        <v/>
      </c>
      <c r="F57" t="inlineStr">
        <is>
          <t>DF25 BP p.19 / nota 7.2 p.30</t>
        </is>
      </c>
    </row>
    <row r="58">
      <c r="A58" t="inlineStr">
        <is>
          <t>Provisão para perdas</t>
        </is>
      </c>
      <c r="B58" s="13" t="n">
        <v>4688000</v>
      </c>
      <c r="C58" s="11" t="n">
        <v>4688000</v>
      </c>
      <c r="D58" s="10">
        <f>B58-C58</f>
        <v/>
      </c>
      <c r="F58" t="inlineStr">
        <is>
          <t>DF25 nota 7.3, p.31</t>
        </is>
      </c>
    </row>
    <row r="59">
      <c r="A59" t="inlineStr">
        <is>
          <t>Lucro não realizado eliminado na consolidação</t>
        </is>
      </c>
      <c r="B59" s="13" t="n">
        <v>1293806000</v>
      </c>
      <c r="C59" s="11" t="n">
        <v>1293806000</v>
      </c>
      <c r="D59" s="10">
        <f>B59-C59</f>
        <v/>
      </c>
      <c r="F59" t="inlineStr">
        <is>
          <t>DF25 nota 20.9, p.52 (base do IR diferido)</t>
        </is>
      </c>
    </row>
    <row r="60">
      <c r="A60" t="inlineStr">
        <is>
          <t>Saldo bruto (antes da provisão)</t>
        </is>
      </c>
      <c r="B60" s="13" t="n">
        <v>1483614000</v>
      </c>
      <c r="C60" s="11" t="n">
        <v>1483614000</v>
      </c>
      <c r="D60" s="10">
        <f>B60-C60</f>
        <v/>
      </c>
      <c r="F60" t="inlineStr">
        <is>
          <t>Nota 7.2 + 7.3 (premissa: composição divulgada é líquida da provisão)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20" customWidth="1" min="3" max="3"/>
    <col width="14" customWidth="1" min="4" max="4"/>
    <col width="22" customWidth="1" min="5" max="5"/>
  </cols>
  <sheetData>
    <row r="1">
      <c r="A1" s="1" t="inlineStr">
        <is>
          <t>PT 510 - Saldos iniciais: DFP 2024 (formulário CVM) x comparativos das DF 2025 (R$ mil)</t>
        </is>
      </c>
    </row>
    <row r="2">
      <c r="A2" s="2" t="inlineStr">
        <is>
          <t>NBC TA 510 (R1) itens 5-9 | Realizado com evidência pública</t>
        </is>
      </c>
    </row>
    <row r="3">
      <c r="A3" s="3" t="inlineStr">
        <is>
          <t>Preparadora: Rafaela de Sousa Barbosa - matrícula 241003384 | Data: 22/10/2026 | Conteúdo produzido com IA (ver README) | Revisão: ____________ (campo não preenchido)</t>
        </is>
      </c>
    </row>
    <row r="5">
      <c r="A5" s="4" t="inlineStr">
        <is>
          <t>Linha</t>
        </is>
      </c>
      <c r="B5" s="4" t="inlineStr">
        <is>
          <t>DFP 2024 (R$ mil)</t>
        </is>
      </c>
      <c r="C5" s="4" t="inlineStr">
        <is>
          <t>Comparativo DF 2025</t>
        </is>
      </c>
      <c r="D5" s="4" t="inlineStr">
        <is>
          <t>Diferença</t>
        </is>
      </c>
      <c r="E5" s="4" t="inlineStr">
        <is>
          <t>Status</t>
        </is>
      </c>
    </row>
    <row r="6">
      <c r="A6" t="inlineStr">
        <is>
          <t>Caixa e equivalentes</t>
        </is>
      </c>
      <c r="B6" s="11" t="n">
        <v>278153.4</v>
      </c>
      <c r="C6" s="5" t="n">
        <v>278153</v>
      </c>
      <c r="D6" s="10">
        <f>B6-C6</f>
        <v/>
      </c>
      <c r="E6">
        <f>IF(ABS(D6)&lt;=1.5,"OK (arredondamento)","DIVERGÊNCIA")</f>
        <v/>
      </c>
    </row>
    <row r="7">
      <c r="A7" t="inlineStr">
        <is>
          <t>Aplicações financeiras/TVM</t>
        </is>
      </c>
      <c r="B7" s="11" t="n">
        <v>4529.6</v>
      </c>
      <c r="C7" s="5" t="n">
        <v>4530</v>
      </c>
      <c r="D7" s="10">
        <f>B7-C7</f>
        <v/>
      </c>
      <c r="E7">
        <f>IF(ABS(D7)&lt;=1.5,"OK (arredondamento)","DIVERGÊNCIA")</f>
        <v/>
      </c>
    </row>
    <row r="8">
      <c r="A8" t="inlineStr">
        <is>
          <t>Contas a receber</t>
        </is>
      </c>
      <c r="B8" s="11" t="n">
        <v>955208.1</v>
      </c>
      <c r="C8" s="5" t="n">
        <v>955208</v>
      </c>
      <c r="D8" s="10">
        <f>B8-C8</f>
        <v/>
      </c>
      <c r="E8">
        <f>IF(ABS(D8)&lt;=1.5,"OK (arredondamento)","DIVERGÊNCIA")</f>
        <v/>
      </c>
    </row>
    <row r="9">
      <c r="A9" t="inlineStr">
        <is>
          <t>Estoques</t>
        </is>
      </c>
      <c r="B9" s="11" t="n">
        <v>1332577.7</v>
      </c>
      <c r="C9" s="5" t="n">
        <v>1332578</v>
      </c>
      <c r="D9" s="10">
        <f>B9-C9</f>
        <v/>
      </c>
      <c r="E9">
        <f>IF(ABS(D9)&lt;=1.5,"OK (arredondamento)","DIVERGÊNCIA")</f>
        <v/>
      </c>
    </row>
    <row r="10">
      <c r="A10" t="inlineStr">
        <is>
          <t>Tributos a recuperar (CP)</t>
        </is>
      </c>
      <c r="B10" s="11" t="n">
        <v>189904</v>
      </c>
      <c r="C10" s="5" t="n">
        <v>189904</v>
      </c>
      <c r="D10" s="10">
        <f>B10-C10</f>
        <v/>
      </c>
      <c r="E10">
        <f>IF(ABS(D10)&lt;=1.5,"OK (arredondamento)","DIVERGÊNCIA")</f>
        <v/>
      </c>
    </row>
    <row r="11">
      <c r="A11" t="inlineStr">
        <is>
          <t>Ativo circulante</t>
        </is>
      </c>
      <c r="B11" s="11" t="n">
        <v>2781887.7</v>
      </c>
      <c r="C11" s="5" t="n">
        <v>2781888</v>
      </c>
      <c r="D11" s="10">
        <f>B11-C11</f>
        <v/>
      </c>
      <c r="E11">
        <f>IF(ABS(D11)&lt;=1.5,"OK (arredondamento)","DIVERGÊNCIA")</f>
        <v/>
      </c>
    </row>
    <row r="12">
      <c r="A12" t="inlineStr">
        <is>
          <t>Ativo não circulante</t>
        </is>
      </c>
      <c r="B12" s="11" t="n">
        <v>1491842.6</v>
      </c>
      <c r="C12" s="5" t="n">
        <v>1491842</v>
      </c>
      <c r="D12" s="10">
        <f>B12-C12</f>
        <v/>
      </c>
      <c r="E12">
        <f>IF(ABS(D12)&lt;=1.5,"OK (arredondamento)","DIVERGÊNCIA")</f>
        <v/>
      </c>
    </row>
    <row r="13">
      <c r="A13" t="inlineStr">
        <is>
          <t>Imobilizado</t>
        </is>
      </c>
      <c r="B13" s="11" t="n">
        <v>853171.6</v>
      </c>
      <c r="C13" s="5" t="n">
        <v>853172</v>
      </c>
      <c r="D13" s="10">
        <f>B13-C13</f>
        <v/>
      </c>
      <c r="E13">
        <f>IF(ABS(D13)&lt;=1.5,"OK (arredondamento)","DIVERGÊNCIA")</f>
        <v/>
      </c>
    </row>
    <row r="14">
      <c r="A14" t="inlineStr">
        <is>
          <t>Intangível</t>
        </is>
      </c>
      <c r="B14" s="11" t="n">
        <v>67326</v>
      </c>
      <c r="C14" s="5" t="n">
        <v>67326</v>
      </c>
      <c r="D14" s="10">
        <f>B14-C14</f>
        <v/>
      </c>
      <c r="E14">
        <f>IF(ABS(D14)&lt;=1.5,"OK (arredondamento)","DIVERGÊNCIA")</f>
        <v/>
      </c>
    </row>
    <row r="15">
      <c r="A15" t="inlineStr">
        <is>
          <t>Passivo circulante</t>
        </is>
      </c>
      <c r="B15" s="11" t="n">
        <v>995685.9</v>
      </c>
      <c r="C15" s="5" t="n">
        <v>995687</v>
      </c>
      <c r="D15" s="10">
        <f>B15-C15</f>
        <v/>
      </c>
      <c r="E15">
        <f>IF(ABS(D15)&lt;=1.5,"OK (arredondamento)","DIVERGÊNCIA")</f>
        <v/>
      </c>
    </row>
    <row r="16">
      <c r="A16" t="inlineStr">
        <is>
          <t>Fornecedores (DFP: inclui convênio)</t>
        </is>
      </c>
      <c r="B16" s="11" t="n">
        <v>372870.7</v>
      </c>
      <c r="C16" s="5" t="n">
        <v>372871</v>
      </c>
      <c r="D16" s="10">
        <f>B16-C16</f>
        <v/>
      </c>
      <c r="E16">
        <f>IF(ABS(D16)&lt;=1.5,"OK (arredondamento)","DIVERGÊNCIA")</f>
        <v/>
      </c>
    </row>
    <row r="17">
      <c r="A17" t="inlineStr">
        <is>
          <t>Empréstimos CP</t>
        </is>
      </c>
      <c r="B17" s="11" t="n">
        <v>113369.7</v>
      </c>
      <c r="C17" s="5" t="n">
        <v>113370</v>
      </c>
      <c r="D17" s="10">
        <f>B17-C17</f>
        <v/>
      </c>
      <c r="E17">
        <f>IF(ABS(D17)&lt;=1.5,"OK (arredondamento)","DIVERGÊNCIA")</f>
        <v/>
      </c>
    </row>
    <row r="18">
      <c r="A18" t="inlineStr">
        <is>
          <t>Empréstimos LP</t>
        </is>
      </c>
      <c r="B18" s="11" t="n">
        <v>285191.1</v>
      </c>
      <c r="C18" s="5" t="n">
        <v>285191</v>
      </c>
      <c r="D18" s="10">
        <f>B18-C18</f>
        <v/>
      </c>
      <c r="E18">
        <f>IF(ABS(D18)&lt;=1.5,"OK (arredondamento)","DIVERGÊNCIA")</f>
        <v/>
      </c>
    </row>
    <row r="19">
      <c r="A19" t="inlineStr">
        <is>
          <t>Passivo não circulante</t>
        </is>
      </c>
      <c r="B19" s="11" t="n">
        <v>781101.4</v>
      </c>
      <c r="C19" s="5" t="n">
        <v>781101</v>
      </c>
      <c r="D19" s="10">
        <f>B19-C19</f>
        <v/>
      </c>
      <c r="E19">
        <f>IF(ABS(D19)&lt;=1.5,"OK (arredondamento)","DIVERGÊNCIA")</f>
        <v/>
      </c>
    </row>
    <row r="20">
      <c r="A20" t="inlineStr">
        <is>
          <t>Provisões</t>
        </is>
      </c>
      <c r="B20" s="11" t="n">
        <v>18317.6</v>
      </c>
      <c r="C20" s="5" t="n">
        <v>18317</v>
      </c>
      <c r="D20" s="10">
        <f>B20-C20</f>
        <v/>
      </c>
      <c r="E20">
        <f>IF(ABS(D20)&lt;=1.5,"OK (arredondamento)","DIVERGÊNCIA")</f>
        <v/>
      </c>
    </row>
    <row r="21">
      <c r="A21" t="inlineStr">
        <is>
          <t>Receita líquida 2024</t>
        </is>
      </c>
      <c r="B21" s="11" t="n">
        <v>2577113.4</v>
      </c>
      <c r="C21" s="5" t="n">
        <v>2577113</v>
      </c>
      <c r="D21" s="10">
        <f>B21-C21</f>
        <v/>
      </c>
      <c r="E21">
        <f>IF(ABS(D21)&lt;=1.5,"OK (arredondamento)","DIVERGÊNCIA")</f>
        <v/>
      </c>
    </row>
    <row r="22">
      <c r="A22" t="inlineStr">
        <is>
          <t>CMV 2024</t>
        </is>
      </c>
      <c r="B22" s="11" t="n">
        <v>-767087.5</v>
      </c>
      <c r="C22" s="5" t="n">
        <v>-767087</v>
      </c>
      <c r="D22" s="10">
        <f>B22-C22</f>
        <v/>
      </c>
      <c r="E22">
        <f>IF(ABS(D22)&lt;=1.5,"OK (arredondamento)","DIVERGÊNCIA")</f>
        <v/>
      </c>
    </row>
    <row r="23">
      <c r="A23" t="inlineStr">
        <is>
          <t>LAIR 2024</t>
        </is>
      </c>
      <c r="B23" s="11" t="n">
        <v>626238.1</v>
      </c>
      <c r="C23" s="5" t="n">
        <v>626238</v>
      </c>
      <c r="D23" s="10">
        <f>B23-C23</f>
        <v/>
      </c>
      <c r="E23">
        <f>IF(ABS(D23)&lt;=1.5,"OK (arredondamento)","DIVERGÊNCIA")</f>
        <v/>
      </c>
    </row>
    <row r="24">
      <c r="A24" t="inlineStr">
        <is>
          <t>Lucro líquido 2024</t>
        </is>
      </c>
      <c r="B24" s="11" t="n">
        <v>653393.9</v>
      </c>
      <c r="C24" s="5" t="n">
        <v>653394</v>
      </c>
      <c r="D24" s="10">
        <f>B24-C24</f>
        <v/>
      </c>
      <c r="E24">
        <f>IF(ABS(D24)&lt;=1.5,"OK (arredondamento)","DIVERGÊNCIA")</f>
        <v/>
      </c>
    </row>
    <row r="26">
      <c r="A26" s="8" t="inlineStr">
        <is>
          <t>Retificação 2023 (nota 3 da DFP 2024) x formulário DFP 2024 - lucro líquido 2023</t>
        </is>
      </c>
    </row>
    <row r="27">
      <c r="A27" t="inlineStr">
        <is>
          <t>Lucro 2023 no formulário DFP 2024 (DFP24 p.19)</t>
        </is>
      </c>
      <c r="B27" s="11" t="n">
        <v>369244.553</v>
      </c>
    </row>
    <row r="28">
      <c r="A28" t="inlineStr">
        <is>
          <t>Lucro 2023 retificado (DFP24 nota 3, p.60)</t>
        </is>
      </c>
      <c r="B28" s="11" t="n">
        <v>381120</v>
      </c>
    </row>
    <row r="29">
      <c r="A29" t="inlineStr">
        <is>
          <t>Diferença</t>
        </is>
      </c>
      <c r="B29" s="10">
        <f>B28-B27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6" customWidth="1" min="3" max="3"/>
    <col width="14" customWidth="1" min="4" max="4"/>
    <col width="10" customWidth="1" min="5" max="5"/>
    <col width="12" customWidth="1" min="6" max="6"/>
    <col width="70" customWidth="1" min="7" max="7"/>
  </cols>
  <sheetData>
    <row r="1">
      <c r="A1" s="1" t="inlineStr">
        <is>
          <t>PT 520 - Procedimentos analíticos substantivos (R$ mil)</t>
        </is>
      </c>
    </row>
    <row r="2">
      <c r="A2" s="2" t="inlineStr">
        <is>
          <t>NBC TA 520 itens 5-7, A4-A16 | Realizado com evidência pública</t>
        </is>
      </c>
    </row>
    <row r="3">
      <c r="A3" s="3" t="inlineStr">
        <is>
          <t>Preparadora: Rafaela de Sousa Barbosa - matrícula 241003384 | Data: 22/10/2026 | Conteúdo produzido com IA (ver README) | Revisão: ____________ (campo não preenchido)</t>
        </is>
      </c>
    </row>
    <row r="5">
      <c r="A5" t="inlineStr">
        <is>
          <t>Limite de investigação (= materialidade para execução)</t>
        </is>
      </c>
      <c r="B5" s="5" t="n">
        <v>17400</v>
      </c>
    </row>
    <row r="7">
      <c r="A7" s="4" t="inlineStr">
        <is>
          <t>Dado de entrada</t>
        </is>
      </c>
      <c r="B7" s="4" t="inlineStr">
        <is>
          <t>Valor</t>
        </is>
      </c>
      <c r="C7" s="4" t="inlineStr">
        <is>
          <t>Fonte</t>
        </is>
      </c>
    </row>
    <row r="8">
      <c r="A8" t="inlineStr">
        <is>
          <t>Receita líquida 2025</t>
        </is>
      </c>
      <c r="B8" s="5" t="n">
        <v>3026582</v>
      </c>
      <c r="C8" t="inlineStr">
        <is>
          <t>DF25 p.20</t>
        </is>
      </c>
    </row>
    <row r="9">
      <c r="A9" t="inlineStr">
        <is>
          <t>Receita líquida 2024</t>
        </is>
      </c>
      <c r="B9" s="5" t="n">
        <v>2577113</v>
      </c>
      <c r="C9" t="inlineStr">
        <is>
          <t>DF25 p.20</t>
        </is>
      </c>
    </row>
    <row r="10">
      <c r="A10" t="inlineStr">
        <is>
          <t>CMV 2025</t>
        </is>
      </c>
      <c r="B10" s="5" t="n">
        <v>921472</v>
      </c>
      <c r="C10" t="inlineStr">
        <is>
          <t>DF25 p.20</t>
        </is>
      </c>
    </row>
    <row r="11">
      <c r="A11" t="inlineStr">
        <is>
          <t>CMV 2024</t>
        </is>
      </c>
      <c r="B11" s="5" t="n">
        <v>767087</v>
      </c>
      <c r="C11" t="inlineStr">
        <is>
          <t>DF25 p.20</t>
        </is>
      </c>
    </row>
    <row r="12">
      <c r="A12" t="inlineStr">
        <is>
          <t>Despesas com vendas 2025</t>
        </is>
      </c>
      <c r="B12" s="5" t="n">
        <v>1086276</v>
      </c>
      <c r="C12" t="inlineStr">
        <is>
          <t>DF25 p.20</t>
        </is>
      </c>
    </row>
    <row r="13">
      <c r="A13" t="inlineStr">
        <is>
          <t>Despesas com vendas 2024</t>
        </is>
      </c>
      <c r="B13" s="5" t="n">
        <v>946097</v>
      </c>
      <c r="C13" t="inlineStr">
        <is>
          <t>DF25 p.20</t>
        </is>
      </c>
    </row>
    <row r="14">
      <c r="A14" t="inlineStr">
        <is>
          <t>G&amp;A 2025</t>
        </is>
      </c>
      <c r="B14" s="5" t="n">
        <v>282216</v>
      </c>
      <c r="C14" t="inlineStr">
        <is>
          <t>DF25 p.20</t>
        </is>
      </c>
    </row>
    <row r="15">
      <c r="A15" t="inlineStr">
        <is>
          <t>G&amp;A 2024</t>
        </is>
      </c>
      <c r="B15" s="5" t="n">
        <v>257972</v>
      </c>
      <c r="C15" t="inlineStr">
        <is>
          <t>DF25 p.20</t>
        </is>
      </c>
    </row>
    <row r="16">
      <c r="A16" t="inlineStr">
        <is>
          <t>Receita lojas físicas 2024</t>
        </is>
      </c>
      <c r="B16" s="5" t="n">
        <v>2788197</v>
      </c>
      <c r="C16" t="inlineStr">
        <is>
          <t>DF25 p.55</t>
        </is>
      </c>
    </row>
    <row r="17">
      <c r="A17" t="inlineStr">
        <is>
          <t>Receita lojas físicas 2025</t>
        </is>
      </c>
      <c r="B17" s="5" t="n">
        <v>3223909</v>
      </c>
      <c r="C17" t="inlineStr">
        <is>
          <t>DF25 p.55</t>
        </is>
      </c>
    </row>
    <row r="18">
      <c r="A18" t="inlineStr">
        <is>
          <t>SSS 2025</t>
        </is>
      </c>
      <c r="B18" s="6" t="n">
        <v>0.118</v>
      </c>
      <c r="C18" t="inlineStr">
        <is>
          <t>DF25 p.3</t>
        </is>
      </c>
    </row>
    <row r="19">
      <c r="A19" t="inlineStr">
        <is>
          <t>Aberturas líquidas 2025</t>
        </is>
      </c>
      <c r="B19" s="5" t="n">
        <v>41</v>
      </c>
      <c r="C19" t="inlineStr">
        <is>
          <t>DF25 p.4</t>
        </is>
      </c>
    </row>
    <row r="20">
      <c r="A20" t="inlineStr">
        <is>
          <t>Receita média anual loja Life madura</t>
        </is>
      </c>
      <c r="B20" s="5" t="n">
        <v>5600</v>
      </c>
      <c r="C20" t="inlineStr">
        <is>
          <t>DF25 p.7</t>
        </is>
      </c>
    </row>
    <row r="21">
      <c r="A21" t="inlineStr">
        <is>
          <t>Fração do ano (lojas novas)</t>
        </is>
      </c>
      <c r="B21" s="6" t="n">
        <v>0.5</v>
      </c>
      <c r="C21" t="inlineStr">
        <is>
          <t>premissa</t>
        </is>
      </c>
    </row>
    <row r="22">
      <c r="A22" t="inlineStr">
        <is>
          <t>GGF alocado ao estoque 2024 (RA)</t>
        </is>
      </c>
      <c r="B22" s="5" t="n">
        <v>43900</v>
      </c>
      <c r="C22" t="inlineStr">
        <is>
          <t>DF25 p.8</t>
        </is>
      </c>
    </row>
    <row r="23">
      <c r="A23" t="inlineStr">
        <is>
          <t>GGF alocado ao estoque 2025 (RA)</t>
        </is>
      </c>
      <c r="B23" s="5" t="n">
        <v>24400</v>
      </c>
      <c r="C23" t="inlineStr">
        <is>
          <t>DF25 p.8</t>
        </is>
      </c>
    </row>
    <row r="24">
      <c r="A24" t="inlineStr">
        <is>
          <t>Passivo de arrendamento 2024</t>
        </is>
      </c>
      <c r="B24" s="5" t="n">
        <v>560200</v>
      </c>
      <c r="C24" t="inlineStr">
        <is>
          <t>DF25 p.59</t>
        </is>
      </c>
    </row>
    <row r="25">
      <c r="A25" t="inlineStr">
        <is>
          <t>Passivo de arrendamento 2025</t>
        </is>
      </c>
      <c r="B25" s="5" t="n">
        <v>682705</v>
      </c>
      <c r="C25" t="inlineStr">
        <is>
          <t>DF25 p.59</t>
        </is>
      </c>
    </row>
    <row r="26">
      <c r="A26" t="inlineStr">
        <is>
          <t>Taxa média de desconto 2025</t>
        </is>
      </c>
      <c r="B26" s="6" t="n">
        <v>0.1292</v>
      </c>
      <c r="C26" t="inlineStr">
        <is>
          <t>DF25 p.58</t>
        </is>
      </c>
    </row>
    <row r="27">
      <c r="A27" t="inlineStr">
        <is>
          <t>Encargos de arrendamento 2025</t>
        </is>
      </c>
      <c r="B27" s="5" t="n">
        <v>80179</v>
      </c>
      <c r="C27" t="inlineStr">
        <is>
          <t>DF25 p.57</t>
        </is>
      </c>
    </row>
    <row r="28">
      <c r="A28" t="inlineStr">
        <is>
          <t>Debêntures - principal</t>
        </is>
      </c>
      <c r="B28" s="5" t="n">
        <v>300000</v>
      </c>
      <c r="C28" t="inlineStr">
        <is>
          <t>DF25 p.40</t>
        </is>
      </c>
    </row>
    <row r="29">
      <c r="A29" t="inlineStr">
        <is>
          <t>CDI proxy (cenário I nota 29.7)</t>
        </is>
      </c>
      <c r="B29" s="6" t="n">
        <v>0.1432</v>
      </c>
      <c r="C29" t="inlineStr">
        <is>
          <t>DF25 p.66</t>
        </is>
      </c>
    </row>
    <row r="30">
      <c r="A30" t="inlineStr">
        <is>
          <t>Spread debêntures</t>
        </is>
      </c>
      <c r="B30" s="6" t="n">
        <v>0.007</v>
      </c>
      <c r="C30" t="inlineStr">
        <is>
          <t>DF25 p.40</t>
        </is>
      </c>
    </row>
    <row r="31">
      <c r="A31" t="inlineStr">
        <is>
          <t>Dias 05/09 a 31/12/2025</t>
        </is>
      </c>
      <c r="B31" s="5" t="n">
        <v>117</v>
      </c>
      <c r="C31" t="inlineStr">
        <is>
          <t>cálculo</t>
        </is>
      </c>
    </row>
    <row r="32">
      <c r="A32" t="inlineStr">
        <is>
          <t>Juros debêntures incorridos 2025</t>
        </is>
      </c>
      <c r="B32" s="5" t="n">
        <v>14401</v>
      </c>
      <c r="C32" t="inlineStr">
        <is>
          <t>DF25 p.41</t>
        </is>
      </c>
    </row>
    <row r="34">
      <c r="A34" s="4" t="inlineStr">
        <is>
          <t>Conta</t>
        </is>
      </c>
      <c r="B34" s="4" t="inlineStr">
        <is>
          <t>Expectativa (fórmula)</t>
        </is>
      </c>
      <c r="C34" s="4" t="inlineStr">
        <is>
          <t>Real</t>
        </is>
      </c>
      <c r="D34" s="4" t="inlineStr">
        <is>
          <t>Diferença</t>
        </is>
      </c>
      <c r="E34" s="4" t="inlineStr">
        <is>
          <t>Dif. %</t>
        </is>
      </c>
      <c r="F34" s="4" t="inlineStr">
        <is>
          <t>Investigar?</t>
        </is>
      </c>
      <c r="G34" s="4" t="inlineStr">
        <is>
          <t>Modelo</t>
        </is>
      </c>
    </row>
    <row r="35">
      <c r="A35" t="inlineStr">
        <is>
          <t>Receita bruta - lojas físicas</t>
        </is>
      </c>
      <c r="B35" s="7">
        <f>B16*(1+B18)+B19*B20*B21</f>
        <v/>
      </c>
      <c r="C35" s="7">
        <f>B17</f>
        <v/>
      </c>
      <c r="D35" s="7">
        <f>C35-B35</f>
        <v/>
      </c>
      <c r="E35" s="9">
        <f>D35/B35</f>
        <v/>
      </c>
      <c r="F35">
        <f>IF(ABS(D35)&gt;$B$5,"SIM","NÃO")</f>
        <v/>
      </c>
      <c r="G35" t="inlineStr">
        <is>
          <t>Lojas 2024 x (1+SSS) + lojas novas x receita média x fração do ano</t>
        </is>
      </c>
    </row>
    <row r="36">
      <c r="A36" t="inlineStr">
        <is>
          <t>CMV</t>
        </is>
      </c>
      <c r="B36" s="7">
        <f>B8*B11/B9</f>
        <v/>
      </c>
      <c r="C36" s="7">
        <f>B10</f>
        <v/>
      </c>
      <c r="D36" s="7">
        <f>C36-B36</f>
        <v/>
      </c>
      <c r="E36" s="9">
        <f>D36/B36</f>
        <v/>
      </c>
      <c r="F36">
        <f>IF(ABS(D36)&gt;$B$5,"SIM","NÃO")</f>
        <v/>
      </c>
      <c r="G36" t="inlineStr">
        <is>
          <t>RL 2025 x (CMV/RL 2024)</t>
        </is>
      </c>
    </row>
    <row r="37">
      <c r="A37" t="inlineStr">
        <is>
          <t>CMV - ajustado pelo efeito GGF</t>
        </is>
      </c>
      <c r="B37" s="7">
        <f>B8*(B11+B22)/B9-B23</f>
        <v/>
      </c>
      <c r="C37" s="7">
        <f>B10</f>
        <v/>
      </c>
      <c r="D37" s="7">
        <f>C37-B37</f>
        <v/>
      </c>
      <c r="E37" s="9">
        <f>D37/B37</f>
        <v/>
      </c>
      <c r="F37">
        <f>IF(ABS(D37)&gt;$B$5,"SIM","NÃO")</f>
        <v/>
      </c>
      <c r="G37" t="inlineStr">
        <is>
          <t>Investigação: margem 2024 sem alocação de GGF; deduz GGF alocado em 2025</t>
        </is>
      </c>
    </row>
    <row r="38">
      <c r="A38" t="inlineStr">
        <is>
          <t>Despesas com vendas</t>
        </is>
      </c>
      <c r="B38" s="7">
        <f>B8*B13/B9</f>
        <v/>
      </c>
      <c r="C38" s="7">
        <f>B12</f>
        <v/>
      </c>
      <c r="D38" s="7">
        <f>C38-B38</f>
        <v/>
      </c>
      <c r="E38" s="9">
        <f>D38/B38</f>
        <v/>
      </c>
      <c r="F38">
        <f>IF(ABS(D38)&gt;$B$5,"SIM","NÃO")</f>
        <v/>
      </c>
      <c r="G38" t="inlineStr">
        <is>
          <t>RL 2025 x (DV/RL 2024)</t>
        </is>
      </c>
    </row>
    <row r="39">
      <c r="A39" t="inlineStr">
        <is>
          <t>Despesas gerais e administrativas</t>
        </is>
      </c>
      <c r="B39" s="7">
        <f>B8*B15/B9</f>
        <v/>
      </c>
      <c r="C39" s="7">
        <f>B14</f>
        <v/>
      </c>
      <c r="D39" s="7">
        <f>C39-B39</f>
        <v/>
      </c>
      <c r="E39" s="9">
        <f>D39/B39</f>
        <v/>
      </c>
      <c r="F39">
        <f>IF(ABS(D39)&gt;$B$5,"SIM","NÃO")</f>
        <v/>
      </c>
      <c r="G39" t="inlineStr">
        <is>
          <t>RL 2025 x (G&amp;A/RL 2024)</t>
        </is>
      </c>
    </row>
    <row r="40">
      <c r="A40" t="inlineStr">
        <is>
          <t>Encargos financeiros de arrendamento</t>
        </is>
      </c>
      <c r="B40" s="7">
        <f>(B24+B25)/2*B26</f>
        <v/>
      </c>
      <c r="C40" s="7">
        <f>B27</f>
        <v/>
      </c>
      <c r="D40" s="7">
        <f>C40-B40</f>
        <v/>
      </c>
      <c r="E40" s="9">
        <f>D40/B40</f>
        <v/>
      </c>
      <c r="F40">
        <f>IF(ABS(D40)&gt;$B$5,"SIM","NÃO")</f>
        <v/>
      </c>
      <c r="G40" t="inlineStr">
        <is>
          <t>Passivo médio x taxa média</t>
        </is>
      </c>
    </row>
    <row r="41">
      <c r="A41" t="inlineStr">
        <is>
          <t>Juros das debêntures</t>
        </is>
      </c>
      <c r="B41" s="7">
        <f>B28*(((1+B29)*(1+B30))^(B31/365)-1)</f>
        <v/>
      </c>
      <c r="C41" s="7">
        <f>B32</f>
        <v/>
      </c>
      <c r="D41" s="7">
        <f>C41-B41</f>
        <v/>
      </c>
      <c r="E41" s="9">
        <f>D41/B41</f>
        <v/>
      </c>
      <c r="F41">
        <f>IF(ABS(D41)&gt;$B$5,"SIM","NÃO")</f>
        <v/>
      </c>
      <c r="G41" t="inlineStr">
        <is>
          <t>Principal x fator DI+spread no período</t>
        </is>
      </c>
    </row>
    <row r="43">
      <c r="A43" s="8" t="inlineStr">
        <is>
          <t>Índices (calculados em Python - resultados_calculos.json)</t>
        </is>
      </c>
    </row>
    <row r="44">
      <c r="A44" t="inlineStr">
        <is>
          <t>margem_bruta</t>
        </is>
      </c>
      <c r="B44" t="inlineStr">
        <is>
          <t>{"2025": 0.6955, "2024": 0.7023}</t>
        </is>
      </c>
    </row>
    <row r="45">
      <c r="A45" t="inlineStr">
        <is>
          <t>margem_liquida</t>
        </is>
      </c>
      <c r="B45" t="inlineStr">
        <is>
          <t>{"2025": 0.2047, "2024": 0.2535}</t>
        </is>
      </c>
    </row>
    <row r="46">
      <c r="A46" t="inlineStr">
        <is>
          <t>dias_estoque_CMV</t>
        </is>
      </c>
      <c r="B46" t="inlineStr">
        <is>
          <t>{"2025": 556.8, "2024": 503.3, "RA_ex_GGF_2025": 537}</t>
        </is>
      </c>
    </row>
    <row r="47">
      <c r="A47" t="inlineStr">
        <is>
          <t>giro_estoque</t>
        </is>
      </c>
      <c r="B47" t="inlineStr">
        <is>
          <t>{"2025": 0.656, "2024": 0.725}</t>
        </is>
      </c>
    </row>
    <row r="48">
      <c r="A48" t="inlineStr">
        <is>
          <t>dias_recebimento_receita_bruta</t>
        </is>
      </c>
      <c r="B48" t="inlineStr">
        <is>
          <t>{"2025": 94.8, "divulgado_nota6": 95}</t>
        </is>
      </c>
    </row>
    <row r="49">
      <c r="A49" t="inlineStr">
        <is>
          <t>provisao_sobre_estoque</t>
        </is>
      </c>
      <c r="B49" t="inlineStr">
        <is>
          <t>{"2025": 0.00316, "2024": 0.0039}</t>
        </is>
      </c>
    </row>
    <row r="50">
      <c r="A50" t="inlineStr">
        <is>
          <t>crescimento_receita_liquida</t>
        </is>
      </c>
      <c r="B50" t="inlineStr">
        <is>
          <t>0.1744</t>
        </is>
      </c>
    </row>
    <row r="51">
      <c r="A51" t="inlineStr">
        <is>
          <t>crescimento_estoques</t>
        </is>
      </c>
      <c r="B51" t="inlineStr">
        <is>
          <t>0.1098</t>
        </is>
      </c>
    </row>
    <row r="52">
      <c r="A52" t="inlineStr">
        <is>
          <t>aliquota_efetiva</t>
        </is>
      </c>
      <c r="B52" t="inlineStr">
        <is>
          <t>{"2025": -0.0539}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1" t="inlineStr">
        <is>
          <t>PT 530 - Amostragem por unidade monetária (MUS) - BASE SIMULADA (R$)</t>
        </is>
      </c>
    </row>
    <row r="2">
      <c r="A2" s="2" t="inlineStr">
        <is>
          <t>NBC TA 530 itens 6-15, A10-A23 | SIMULADO PARA FINS DIDÁTICOS</t>
        </is>
      </c>
    </row>
    <row r="3">
      <c r="A3" s="3" t="inlineStr">
        <is>
          <t>Preparadora: Rafaela de Sousa Barbosa - matrícula 241003384 | Data: 22/10/2026 | Conteúdo produzido com IA (ver README) | Revisão: ____________ (campo não preenchido)</t>
        </is>
      </c>
    </row>
    <row r="6">
      <c r="A6" t="inlineStr">
        <is>
          <t>Valor contábil da população (itens &gt; 0) - R$</t>
        </is>
      </c>
      <c r="B6" s="13" t="n">
        <v>1478956760.78</v>
      </c>
    </row>
    <row r="7">
      <c r="A7" t="inlineStr">
        <is>
          <t>Nº de itens da população</t>
        </is>
      </c>
      <c r="B7" s="14" t="n">
        <v>515268</v>
      </c>
    </row>
    <row r="8">
      <c r="A8" t="inlineStr">
        <is>
          <t>Distorção tolerável (= ME) - R$</t>
        </is>
      </c>
      <c r="B8" s="11" t="n">
        <v>17400000</v>
      </c>
    </row>
    <row r="9">
      <c r="A9" t="inlineStr">
        <is>
          <t>% distorção esperada</t>
        </is>
      </c>
      <c r="B9" s="6" t="n">
        <v>0.1</v>
      </c>
    </row>
    <row r="10">
      <c r="A10" t="inlineStr">
        <is>
          <t>Distorção esperada - R$</t>
        </is>
      </c>
      <c r="B10" s="10">
        <f>B8*B9</f>
        <v/>
      </c>
    </row>
    <row r="11">
      <c r="A11" t="inlineStr">
        <is>
          <t>Fator de confiabilidade (95%, 0 erros)</t>
        </is>
      </c>
      <c r="B11" s="15" t="n">
        <v>3</v>
      </c>
    </row>
    <row r="12">
      <c r="A12" t="inlineStr">
        <is>
          <t>Fator de expansão</t>
        </is>
      </c>
      <c r="B12" s="15" t="n">
        <v>1.6</v>
      </c>
    </row>
    <row r="13">
      <c r="A13" t="inlineStr">
        <is>
          <t>Tamanho da amostra (n)</t>
        </is>
      </c>
      <c r="B13" s="7">
        <f>ROUNDUP(B6*B11/(B8-B10*B12),0)</f>
        <v/>
      </c>
    </row>
    <row r="14">
      <c r="A14" t="inlineStr">
        <is>
          <t>Intervalo amostral (J) - R$</t>
        </is>
      </c>
      <c r="B14" s="10">
        <f>B6/B13</f>
        <v/>
      </c>
    </row>
    <row r="15">
      <c r="A15" t="inlineStr">
        <is>
          <t>Início aleatório - R$ (semente 241003384)</t>
        </is>
      </c>
      <c r="B15" s="13" t="n">
        <v>2565942.03</v>
      </c>
    </row>
    <row r="16">
      <c r="A16" t="inlineStr">
        <is>
          <t>Itens com distorção na amostra</t>
        </is>
      </c>
      <c r="B16" s="14" t="n">
        <v>2</v>
      </c>
    </row>
    <row r="17">
      <c r="A17" t="inlineStr">
        <is>
          <t xml:space="preserve">  - já identificados nos testes de 100%</t>
        </is>
      </c>
      <c r="B17" s="14" t="n">
        <v>1</v>
      </c>
    </row>
    <row r="18">
      <c r="A18" t="inlineStr">
        <is>
          <t xml:space="preserve">  - projetáveis</t>
        </is>
      </c>
      <c r="B18" s="14" t="n">
        <v>1</v>
      </c>
    </row>
    <row r="19">
      <c r="A19" t="inlineStr">
        <is>
          <t>Precisão básica (J x 3,0) - R$</t>
        </is>
      </c>
      <c r="B19" s="10">
        <f>B14*B11</f>
        <v/>
      </c>
    </row>
    <row r="20">
      <c r="A20" t="inlineStr">
        <is>
          <t>Distorção projetada - R$</t>
        </is>
      </c>
      <c r="B20" s="13" t="n">
        <v>810833.1800000001</v>
      </c>
    </row>
    <row r="21">
      <c r="A21" t="inlineStr">
        <is>
          <t>Provisão incremental - R$</t>
        </is>
      </c>
      <c r="B21" s="13" t="n">
        <v>608124.88</v>
      </c>
    </row>
    <row r="22">
      <c r="A22" t="inlineStr">
        <is>
          <t>Limite superior de distorção (UML) - R$</t>
        </is>
      </c>
      <c r="B22" s="10">
        <f>B19+B20+B21</f>
        <v/>
      </c>
    </row>
    <row r="23">
      <c r="A23" t="inlineStr">
        <is>
          <t>Conclusão</t>
        </is>
      </c>
      <c r="B23">
        <f>IF(B22&lt;=B8,"UML &lt;= tolerável: aceitar","UML &gt; tolerável: ampliar/ajustar")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2" customWidth="1" min="4" max="4"/>
    <col width="18" customWidth="1" min="5" max="5"/>
    <col width="14" customWidth="1" min="6" max="6"/>
    <col width="10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" customWidth="1" min="15" max="15"/>
    <col width="12" customWidth="1" min="16" max="16"/>
  </cols>
  <sheetData>
    <row r="1">
      <c r="A1" s="1" t="inlineStr">
        <is>
          <t>PT 530 - Itens selecionados (MUS) e resultado da contagem/vouching SIMULADOS (R$)</t>
        </is>
      </c>
    </row>
    <row r="2">
      <c r="A2" s="2" t="inlineStr">
        <is>
          <t>Dados SINTÉTICOS</t>
        </is>
      </c>
    </row>
    <row r="3">
      <c r="A3" s="3" t="inlineStr">
        <is>
          <t>Preparadora: Rafaela de Sousa Barbosa - matrícula 241003384 | Data: 22/10/2026 | Conteúdo produzido com IA (ver README) | Revisão: ____________ (campo não preenchido)</t>
        </is>
      </c>
    </row>
    <row r="5">
      <c r="A5" s="4" t="inlineStr">
        <is>
          <t>id_registro</t>
        </is>
      </c>
      <c r="B5" s="4" t="inlineStr">
        <is>
          <t>cod_local</t>
        </is>
      </c>
      <c r="C5" s="4" t="inlineStr">
        <is>
          <t>tipo_local</t>
        </is>
      </c>
      <c r="D5" s="4" t="inlineStr">
        <is>
          <t>classe_estoque</t>
        </is>
      </c>
      <c r="E5" s="4" t="inlineStr">
        <is>
          <t>categoria</t>
        </is>
      </c>
      <c r="F5" s="4" t="inlineStr">
        <is>
          <t>cod_sku</t>
        </is>
      </c>
      <c r="G5" s="4" t="inlineStr">
        <is>
          <t>quantidade</t>
        </is>
      </c>
      <c r="H5" s="4" t="inlineStr">
        <is>
          <t>custo_unitario</t>
        </is>
      </c>
      <c r="I5" s="4" t="inlineStr">
        <is>
          <t>valor_liquido</t>
        </is>
      </c>
      <c r="J5" s="4" t="inlineStr">
        <is>
          <t>ponto_selecao_RS</t>
        </is>
      </c>
      <c r="K5" s="4" t="inlineStr">
        <is>
          <t>quantidade_contada_simulada</t>
        </is>
      </c>
      <c r="L5" s="4" t="inlineStr">
        <is>
          <t>custo_documental_simulado</t>
        </is>
      </c>
      <c r="M5" s="4" t="inlineStr">
        <is>
          <t>valor_auditado_RS</t>
        </is>
      </c>
      <c r="N5" s="4" t="inlineStr">
        <is>
          <t>distorcao_RS</t>
        </is>
      </c>
      <c r="O5" s="4" t="inlineStr">
        <is>
          <t>taint</t>
        </is>
      </c>
      <c r="P5" s="4" t="inlineStr">
        <is>
          <t>ja_identificado_teste_100pct</t>
        </is>
      </c>
    </row>
    <row r="6">
      <c r="A6" s="16" t="inlineStr">
        <is>
          <t>SIM-EST-0001240</t>
        </is>
      </c>
      <c r="B6" s="16" t="inlineStr">
        <is>
          <t>LJL066</t>
        </is>
      </c>
      <c r="C6" s="16" t="inlineStr">
        <is>
          <t>LOJA_LIFE</t>
        </is>
      </c>
      <c r="D6" s="16" t="inlineStr">
        <is>
          <t>PRODUTO_ACABADO</t>
        </is>
      </c>
      <c r="E6" s="16" t="inlineStr">
        <is>
          <t>LIFE</t>
        </is>
      </c>
      <c r="F6" s="16" t="inlineStr">
        <is>
          <t>LIF-03046</t>
        </is>
      </c>
      <c r="G6" s="16" t="n">
        <v>1</v>
      </c>
      <c r="H6" s="16" t="n">
        <v>82.19</v>
      </c>
      <c r="I6" s="16" t="n">
        <v>82.19</v>
      </c>
      <c r="J6" s="16" t="n">
        <v>2565942.03</v>
      </c>
      <c r="K6" s="16" t="n">
        <v>1</v>
      </c>
      <c r="L6" s="16" t="n">
        <v>82.19</v>
      </c>
      <c r="M6" s="16" t="n">
        <v>82.19</v>
      </c>
      <c r="N6" s="16" t="n">
        <v>0</v>
      </c>
      <c r="O6" s="16" t="n">
        <v>0</v>
      </c>
      <c r="P6" s="16" t="b">
        <v>0</v>
      </c>
    </row>
    <row r="7">
      <c r="A7" s="16" t="inlineStr">
        <is>
          <t>SIM-EST-0002984</t>
        </is>
      </c>
      <c r="B7" s="16" t="inlineStr">
        <is>
          <t>FAB-MAO</t>
        </is>
      </c>
      <c r="C7" s="16" t="inlineStr">
        <is>
          <t>FABRICA</t>
        </is>
      </c>
      <c r="D7" s="16" t="inlineStr">
        <is>
          <t>MATERIA_PRIMA</t>
        </is>
      </c>
      <c r="E7" s="16" t="inlineStr">
        <is>
          <t>OURO</t>
        </is>
      </c>
      <c r="F7" s="16" t="inlineStr">
        <is>
          <t>MP-OUR-00605</t>
        </is>
      </c>
      <c r="G7" s="16" t="n">
        <v>1510.62</v>
      </c>
      <c r="H7" s="16" t="n">
        <v>349.19</v>
      </c>
      <c r="I7" s="16" t="n">
        <v>527493.4</v>
      </c>
      <c r="J7" s="16" t="n">
        <v>7430931.37</v>
      </c>
      <c r="K7" s="16" t="n">
        <v>1510.62</v>
      </c>
      <c r="L7" s="16" t="n">
        <v>349.19</v>
      </c>
      <c r="M7" s="16" t="n">
        <v>527493.4</v>
      </c>
      <c r="N7" s="16" t="n">
        <v>0</v>
      </c>
      <c r="O7" s="16" t="n">
        <v>0</v>
      </c>
      <c r="P7" s="16" t="b">
        <v>0</v>
      </c>
    </row>
    <row r="8">
      <c r="A8" s="16" t="inlineStr">
        <is>
          <t>SIM-EST-0004434</t>
        </is>
      </c>
      <c r="B8" s="16" t="inlineStr">
        <is>
          <t>CD01</t>
        </is>
      </c>
      <c r="C8" s="16" t="inlineStr">
        <is>
          <t>CENTRO_DISTRIBUICAO</t>
        </is>
      </c>
      <c r="D8" s="16" t="inlineStr">
        <is>
          <t>PRODUTO_ACABADO</t>
        </is>
      </c>
      <c r="E8" s="16" t="inlineStr">
        <is>
          <t>JOIAS</t>
        </is>
      </c>
      <c r="F8" s="16" t="inlineStr">
        <is>
          <t>JOI-05062</t>
        </is>
      </c>
      <c r="G8" s="16" t="n">
        <v>52</v>
      </c>
      <c r="H8" s="16" t="n">
        <v>626.22</v>
      </c>
      <c r="I8" s="16" t="n">
        <v>32563.44</v>
      </c>
      <c r="J8" s="16" t="n">
        <v>12295920.72</v>
      </c>
      <c r="K8" s="16" t="n">
        <v>52</v>
      </c>
      <c r="L8" s="16" t="n">
        <v>626.22</v>
      </c>
      <c r="M8" s="16" t="n">
        <v>32563.44</v>
      </c>
      <c r="N8" s="16" t="n">
        <v>0</v>
      </c>
      <c r="O8" s="16" t="n">
        <v>0</v>
      </c>
      <c r="P8" s="16" t="b">
        <v>0</v>
      </c>
    </row>
    <row r="9">
      <c r="A9" s="16" t="inlineStr">
        <is>
          <t>SIM-EST-0006263</t>
        </is>
      </c>
      <c r="B9" s="16" t="inlineStr">
        <is>
          <t>CD02</t>
        </is>
      </c>
      <c r="C9" s="16" t="inlineStr">
        <is>
          <t>CENTRO_DISTRIBUICAO</t>
        </is>
      </c>
      <c r="D9" s="16" t="inlineStr">
        <is>
          <t>PRODUTO_ACABADO</t>
        </is>
      </c>
      <c r="E9" s="16" t="inlineStr">
        <is>
          <t>JOIAS</t>
        </is>
      </c>
      <c r="F9" s="16" t="inlineStr">
        <is>
          <t>JOI-02226</t>
        </is>
      </c>
      <c r="G9" s="16" t="n">
        <v>14</v>
      </c>
      <c r="H9" s="16" t="n">
        <v>3050.41</v>
      </c>
      <c r="I9" s="16" t="n">
        <v>42705.74</v>
      </c>
      <c r="J9" s="16" t="n">
        <v>17160910.06</v>
      </c>
      <c r="K9" s="16" t="n">
        <v>14</v>
      </c>
      <c r="L9" s="16" t="n">
        <v>3050.41</v>
      </c>
      <c r="M9" s="16" t="n">
        <v>42705.74</v>
      </c>
      <c r="N9" s="16" t="n">
        <v>0</v>
      </c>
      <c r="O9" s="16" t="n">
        <v>0</v>
      </c>
      <c r="P9" s="16" t="b">
        <v>0</v>
      </c>
    </row>
    <row r="10">
      <c r="A10" s="16" t="inlineStr">
        <is>
          <t>SIM-EST-0007437</t>
        </is>
      </c>
      <c r="B10" s="16" t="inlineStr">
        <is>
          <t>FAB-MAO</t>
        </is>
      </c>
      <c r="C10" s="16" t="inlineStr">
        <is>
          <t>FABRICA</t>
        </is>
      </c>
      <c r="D10" s="16" t="inlineStr">
        <is>
          <t>MATERIA_PRIMA</t>
        </is>
      </c>
      <c r="E10" s="16" t="inlineStr">
        <is>
          <t>OURO</t>
        </is>
      </c>
      <c r="F10" s="16" t="inlineStr">
        <is>
          <t>MP-OUR-00064</t>
        </is>
      </c>
      <c r="G10" s="16" t="n">
        <v>3971.62</v>
      </c>
      <c r="H10" s="16" t="n">
        <v>341.75</v>
      </c>
      <c r="I10" s="16" t="n">
        <v>1357301.14</v>
      </c>
      <c r="J10" s="16" t="n">
        <v>22025899.41</v>
      </c>
      <c r="K10" s="16" t="n">
        <v>3971.62</v>
      </c>
      <c r="L10" s="16" t="n">
        <v>341.75</v>
      </c>
      <c r="M10" s="16" t="n">
        <v>1357301.14</v>
      </c>
      <c r="N10" s="16" t="n">
        <v>0</v>
      </c>
      <c r="O10" s="16" t="n">
        <v>0</v>
      </c>
      <c r="P10" s="16" t="b">
        <v>0</v>
      </c>
    </row>
    <row r="11">
      <c r="A11" s="16" t="inlineStr">
        <is>
          <t>SIM-EST-0008952</t>
        </is>
      </c>
      <c r="B11" s="16" t="inlineStr">
        <is>
          <t>FAB-MAO</t>
        </is>
      </c>
      <c r="C11" s="16" t="inlineStr">
        <is>
          <t>FABRICA</t>
        </is>
      </c>
      <c r="D11" s="16" t="inlineStr">
        <is>
          <t>MATERIA_PRIMA</t>
        </is>
      </c>
      <c r="E11" s="16" t="inlineStr">
        <is>
          <t>OURO</t>
        </is>
      </c>
      <c r="F11" s="16" t="inlineStr">
        <is>
          <t>MP-OUR-00200</t>
        </is>
      </c>
      <c r="G11" s="16" t="n">
        <v>2408</v>
      </c>
      <c r="H11" s="16" t="n">
        <v>353.69</v>
      </c>
      <c r="I11" s="16" t="n">
        <v>851685.52</v>
      </c>
      <c r="J11" s="16" t="n">
        <v>26890888.75</v>
      </c>
      <c r="K11" s="16" t="n">
        <v>2408</v>
      </c>
      <c r="L11" s="16" t="n">
        <v>353.69</v>
      </c>
      <c r="M11" s="16" t="n">
        <v>851685.52</v>
      </c>
      <c r="N11" s="16" t="n">
        <v>0</v>
      </c>
      <c r="O11" s="16" t="n">
        <v>0</v>
      </c>
      <c r="P11" s="16" t="b">
        <v>0</v>
      </c>
    </row>
    <row r="12">
      <c r="A12" s="16" t="inlineStr">
        <is>
          <t>SIM-EST-0010414</t>
        </is>
      </c>
      <c r="B12" s="16" t="inlineStr">
        <is>
          <t>LJV155</t>
        </is>
      </c>
      <c r="C12" s="16" t="inlineStr">
        <is>
          <t>LOJA_VIVARA</t>
        </is>
      </c>
      <c r="D12" s="16" t="inlineStr">
        <is>
          <t>PRODUTO_ACABADO</t>
        </is>
      </c>
      <c r="E12" s="16" t="inlineStr">
        <is>
          <t>JOIAS</t>
        </is>
      </c>
      <c r="F12" s="16" t="inlineStr">
        <is>
          <t>JOI-07080</t>
        </is>
      </c>
      <c r="G12" s="16" t="n">
        <v>2</v>
      </c>
      <c r="H12" s="16" t="n">
        <v>6625.69</v>
      </c>
      <c r="I12" s="16" t="n">
        <v>13251.38</v>
      </c>
      <c r="J12" s="16" t="n">
        <v>31755878.1</v>
      </c>
      <c r="K12" s="16" t="n">
        <v>2</v>
      </c>
      <c r="L12" s="16" t="n">
        <v>6625.69</v>
      </c>
      <c r="M12" s="16" t="n">
        <v>13251.38</v>
      </c>
      <c r="N12" s="16" t="n">
        <v>0</v>
      </c>
      <c r="O12" s="16" t="n">
        <v>0</v>
      </c>
      <c r="P12" s="16" t="b">
        <v>0</v>
      </c>
    </row>
    <row r="13">
      <c r="A13" s="16" t="inlineStr">
        <is>
          <t>SIM-EST-0011913</t>
        </is>
      </c>
      <c r="B13" s="16" t="inlineStr">
        <is>
          <t>LJL005</t>
        </is>
      </c>
      <c r="C13" s="16" t="inlineStr">
        <is>
          <t>LOJA_LIFE</t>
        </is>
      </c>
      <c r="D13" s="16" t="inlineStr">
        <is>
          <t>PRODUTO_ACABADO</t>
        </is>
      </c>
      <c r="E13" s="16" t="inlineStr">
        <is>
          <t>ACESSORIOS</t>
        </is>
      </c>
      <c r="F13" s="16" t="inlineStr">
        <is>
          <t>ACE-01299</t>
        </is>
      </c>
      <c r="G13" s="16" t="n">
        <v>4</v>
      </c>
      <c r="H13" s="16" t="n">
        <v>156.14</v>
      </c>
      <c r="I13" s="16" t="n">
        <v>624.5599999999999</v>
      </c>
      <c r="J13" s="16" t="n">
        <v>36620867.44</v>
      </c>
      <c r="K13" s="16" t="n">
        <v>4</v>
      </c>
      <c r="L13" s="16" t="n">
        <v>156.14</v>
      </c>
      <c r="M13" s="16" t="n">
        <v>624.5599999999999</v>
      </c>
      <c r="N13" s="16" t="n">
        <v>0</v>
      </c>
      <c r="O13" s="16" t="n">
        <v>0</v>
      </c>
      <c r="P13" s="16" t="b">
        <v>0</v>
      </c>
    </row>
    <row r="14">
      <c r="A14" s="16" t="inlineStr">
        <is>
          <t>SIM-EST-0013775</t>
        </is>
      </c>
      <c r="B14" s="16" t="inlineStr">
        <is>
          <t>LJV162</t>
        </is>
      </c>
      <c r="C14" s="16" t="inlineStr">
        <is>
          <t>LOJA_VIVARA</t>
        </is>
      </c>
      <c r="D14" s="16" t="inlineStr">
        <is>
          <t>PRODUTO_ACABADO</t>
        </is>
      </c>
      <c r="E14" s="16" t="inlineStr">
        <is>
          <t>JOIAS</t>
        </is>
      </c>
      <c r="F14" s="16" t="inlineStr">
        <is>
          <t>JOI-11868</t>
        </is>
      </c>
      <c r="G14" s="16" t="n">
        <v>2</v>
      </c>
      <c r="H14" s="16" t="n">
        <v>920.52</v>
      </c>
      <c r="I14" s="16" t="n">
        <v>1841.04</v>
      </c>
      <c r="J14" s="16" t="n">
        <v>41485856.78</v>
      </c>
      <c r="K14" s="16" t="n">
        <v>2</v>
      </c>
      <c r="L14" s="16" t="n">
        <v>920.52</v>
      </c>
      <c r="M14" s="16" t="n">
        <v>1841.04</v>
      </c>
      <c r="N14" s="16" t="n">
        <v>0</v>
      </c>
      <c r="O14" s="16" t="n">
        <v>0</v>
      </c>
      <c r="P14" s="16" t="b">
        <v>0</v>
      </c>
    </row>
    <row r="15">
      <c r="A15" s="16" t="inlineStr">
        <is>
          <t>SIM-EST-0015669</t>
        </is>
      </c>
      <c r="B15" s="16" t="inlineStr">
        <is>
          <t>FAB-MAO</t>
        </is>
      </c>
      <c r="C15" s="16" t="inlineStr">
        <is>
          <t>FABRICA</t>
        </is>
      </c>
      <c r="D15" s="16" t="inlineStr">
        <is>
          <t>MATERIA_PRIMA</t>
        </is>
      </c>
      <c r="E15" s="16" t="inlineStr">
        <is>
          <t>COMPONENTES_RELOGIO</t>
        </is>
      </c>
      <c r="F15" s="16" t="inlineStr">
        <is>
          <t>MP-COM-01905</t>
        </is>
      </c>
      <c r="G15" s="16" t="n">
        <v>353</v>
      </c>
      <c r="H15" s="16" t="n">
        <v>70.22</v>
      </c>
      <c r="I15" s="16" t="n">
        <v>24787.66</v>
      </c>
      <c r="J15" s="16" t="n">
        <v>46350846.13</v>
      </c>
      <c r="K15" s="16" t="n">
        <v>353</v>
      </c>
      <c r="L15" s="16" t="n">
        <v>70.22</v>
      </c>
      <c r="M15" s="16" t="n">
        <v>24787.66</v>
      </c>
      <c r="N15" s="16" t="n">
        <v>0</v>
      </c>
      <c r="O15" s="16" t="n">
        <v>0</v>
      </c>
      <c r="P15" s="16" t="b">
        <v>0</v>
      </c>
    </row>
    <row r="16">
      <c r="A16" s="16" t="inlineStr">
        <is>
          <t>SIM-EST-0017038</t>
        </is>
      </c>
      <c r="B16" s="16" t="inlineStr">
        <is>
          <t>LJL120</t>
        </is>
      </c>
      <c r="C16" s="16" t="inlineStr">
        <is>
          <t>LOJA_LIFE</t>
        </is>
      </c>
      <c r="D16" s="16" t="inlineStr">
        <is>
          <t>PRODUTO_ACABADO</t>
        </is>
      </c>
      <c r="E16" s="16" t="inlineStr">
        <is>
          <t>LIFE</t>
        </is>
      </c>
      <c r="F16" s="16" t="inlineStr">
        <is>
          <t>LIF-06389</t>
        </is>
      </c>
      <c r="G16" s="16" t="n">
        <v>3</v>
      </c>
      <c r="H16" s="16" t="n">
        <v>314.82</v>
      </c>
      <c r="I16" s="16" t="n">
        <v>944.46</v>
      </c>
      <c r="J16" s="16" t="n">
        <v>51215835.47</v>
      </c>
      <c r="K16" s="16" t="n">
        <v>3</v>
      </c>
      <c r="L16" s="16" t="n">
        <v>314.82</v>
      </c>
      <c r="M16" s="16" t="n">
        <v>944.46</v>
      </c>
      <c r="N16" s="16" t="n">
        <v>0</v>
      </c>
      <c r="O16" s="16" t="n">
        <v>0</v>
      </c>
      <c r="P16" s="16" t="b">
        <v>0</v>
      </c>
    </row>
    <row r="17">
      <c r="A17" s="16" t="inlineStr">
        <is>
          <t>SIM-EST-0019340</t>
        </is>
      </c>
      <c r="B17" s="16" t="inlineStr">
        <is>
          <t>FAB-MAO</t>
        </is>
      </c>
      <c r="C17" s="16" t="inlineStr">
        <is>
          <t>FABRICA</t>
        </is>
      </c>
      <c r="D17" s="16" t="inlineStr">
        <is>
          <t>MATERIA_PRIMA</t>
        </is>
      </c>
      <c r="E17" s="16" t="inlineStr">
        <is>
          <t>OURO</t>
        </is>
      </c>
      <c r="F17" s="16" t="inlineStr">
        <is>
          <t>MP-OUR-00779</t>
        </is>
      </c>
      <c r="G17" s="16" t="n">
        <v>2713.47</v>
      </c>
      <c r="H17" s="16" t="n">
        <v>352.69</v>
      </c>
      <c r="I17" s="16" t="n">
        <v>957013.73</v>
      </c>
      <c r="J17" s="16" t="n">
        <v>56080824.82</v>
      </c>
      <c r="K17" s="16" t="n">
        <v>2713.47</v>
      </c>
      <c r="L17" s="16" t="n">
        <v>352.69</v>
      </c>
      <c r="M17" s="16" t="n">
        <v>957013.73</v>
      </c>
      <c r="N17" s="16" t="n">
        <v>0</v>
      </c>
      <c r="O17" s="16" t="n">
        <v>0</v>
      </c>
      <c r="P17" s="16" t="b">
        <v>0</v>
      </c>
    </row>
    <row r="18">
      <c r="A18" s="16" t="inlineStr">
        <is>
          <t>SIM-EST-0020704</t>
        </is>
      </c>
      <c r="B18" s="16" t="inlineStr">
        <is>
          <t>FIL-SP</t>
        </is>
      </c>
      <c r="C18" s="16" t="inlineStr">
        <is>
          <t>FILIAL_COMPRAS</t>
        </is>
      </c>
      <c r="D18" s="16" t="inlineStr">
        <is>
          <t>MATERIA_PRIMA</t>
        </is>
      </c>
      <c r="E18" s="16" t="inlineStr">
        <is>
          <t>OURO</t>
        </is>
      </c>
      <c r="F18" s="16" t="inlineStr">
        <is>
          <t>MP-OUR-00723</t>
        </is>
      </c>
      <c r="G18" s="16" t="n">
        <v>916.15</v>
      </c>
      <c r="H18" s="16" t="n">
        <v>347.13</v>
      </c>
      <c r="I18" s="16" t="n">
        <v>318023.15</v>
      </c>
      <c r="J18" s="16" t="n">
        <v>60945814.16</v>
      </c>
      <c r="K18" s="16" t="n">
        <v>916.15</v>
      </c>
      <c r="L18" s="16" t="n">
        <v>347.13</v>
      </c>
      <c r="M18" s="16" t="n">
        <v>318023.15</v>
      </c>
      <c r="N18" s="16" t="n">
        <v>0</v>
      </c>
      <c r="O18" s="16" t="n">
        <v>0</v>
      </c>
      <c r="P18" s="16" t="b">
        <v>0</v>
      </c>
    </row>
    <row r="19">
      <c r="A19" s="16" t="inlineStr">
        <is>
          <t>SIM-EST-0022729</t>
        </is>
      </c>
      <c r="B19" s="16" t="inlineStr">
        <is>
          <t>CD02</t>
        </is>
      </c>
      <c r="C19" s="16" t="inlineStr">
        <is>
          <t>CENTRO_DISTRIBUICAO</t>
        </is>
      </c>
      <c r="D19" s="16" t="inlineStr">
        <is>
          <t>PRODUTO_ACABADO</t>
        </is>
      </c>
      <c r="E19" s="16" t="inlineStr">
        <is>
          <t>JOIAS</t>
        </is>
      </c>
      <c r="F19" s="16" t="inlineStr">
        <is>
          <t>JOI-03746</t>
        </is>
      </c>
      <c r="G19" s="16" t="n">
        <v>75</v>
      </c>
      <c r="H19" s="16" t="n">
        <v>6874.53</v>
      </c>
      <c r="I19" s="16" t="n">
        <v>515589.75</v>
      </c>
      <c r="J19" s="16" t="n">
        <v>65810803.51</v>
      </c>
      <c r="K19" s="16" t="n">
        <v>75</v>
      </c>
      <c r="L19" s="16" t="n">
        <v>6874.53</v>
      </c>
      <c r="M19" s="16" t="n">
        <v>515589.75</v>
      </c>
      <c r="N19" s="16" t="n">
        <v>0</v>
      </c>
      <c r="O19" s="16" t="n">
        <v>0</v>
      </c>
      <c r="P19" s="16" t="b">
        <v>0</v>
      </c>
    </row>
    <row r="20">
      <c r="A20" s="16" t="inlineStr">
        <is>
          <t>SIM-EST-0024515</t>
        </is>
      </c>
      <c r="B20" s="16" t="inlineStr">
        <is>
          <t>LJL017</t>
        </is>
      </c>
      <c r="C20" s="16" t="inlineStr">
        <is>
          <t>LOJA_LIFE</t>
        </is>
      </c>
      <c r="D20" s="16" t="inlineStr">
        <is>
          <t>MAT_CONSUMO_EMBALAGEM</t>
        </is>
      </c>
      <c r="E20" s="16" t="inlineStr">
        <is>
          <t>EMBALAGEM</t>
        </is>
      </c>
      <c r="F20" s="16" t="inlineStr">
        <is>
          <t>EMB-00111</t>
        </is>
      </c>
      <c r="G20" s="16" t="n">
        <v>400</v>
      </c>
      <c r="H20" s="16" t="n">
        <v>44.28</v>
      </c>
      <c r="I20" s="16" t="n">
        <v>17712</v>
      </c>
      <c r="J20" s="16" t="n">
        <v>70675792.84999999</v>
      </c>
      <c r="K20" s="16" t="n">
        <v>400</v>
      </c>
      <c r="L20" s="16" t="n">
        <v>44.28</v>
      </c>
      <c r="M20" s="16" t="n">
        <v>17712</v>
      </c>
      <c r="N20" s="16" t="n">
        <v>0</v>
      </c>
      <c r="O20" s="16" t="n">
        <v>0</v>
      </c>
      <c r="P20" s="16" t="b">
        <v>0</v>
      </c>
    </row>
    <row r="21">
      <c r="A21" s="16" t="inlineStr">
        <is>
          <t>SIM-EST-0026389</t>
        </is>
      </c>
      <c r="B21" s="16" t="inlineStr">
        <is>
          <t>FIL-SP</t>
        </is>
      </c>
      <c r="C21" s="16" t="inlineStr">
        <is>
          <t>FILIAL_COMPRAS</t>
        </is>
      </c>
      <c r="D21" s="16" t="inlineStr">
        <is>
          <t>MATERIA_PRIMA</t>
        </is>
      </c>
      <c r="E21" s="16" t="inlineStr">
        <is>
          <t>OURO</t>
        </is>
      </c>
      <c r="F21" s="16" t="inlineStr">
        <is>
          <t>MP-OUR-00206</t>
        </is>
      </c>
      <c r="G21" s="16" t="n">
        <v>3738.24</v>
      </c>
      <c r="H21" s="16" t="n">
        <v>357.57</v>
      </c>
      <c r="I21" s="16" t="n">
        <v>1336682.48</v>
      </c>
      <c r="J21" s="16" t="n">
        <v>75540782.2</v>
      </c>
      <c r="K21" s="16" t="n">
        <v>3738.24</v>
      </c>
      <c r="L21" s="16" t="n">
        <v>357.57</v>
      </c>
      <c r="M21" s="16" t="n">
        <v>1336682.48</v>
      </c>
      <c r="N21" s="16" t="n">
        <v>0</v>
      </c>
      <c r="O21" s="16" t="n">
        <v>0</v>
      </c>
      <c r="P21" s="16" t="b">
        <v>0</v>
      </c>
    </row>
    <row r="22">
      <c r="A22" s="16" t="inlineStr">
        <is>
          <t>SIM-EST-0027672</t>
        </is>
      </c>
      <c r="B22" s="16" t="inlineStr">
        <is>
          <t>CD03</t>
        </is>
      </c>
      <c r="C22" s="16" t="inlineStr">
        <is>
          <t>CENTRO_DISTRIBUICAO</t>
        </is>
      </c>
      <c r="D22" s="16" t="inlineStr">
        <is>
          <t>PRODUTO_ACABADO</t>
        </is>
      </c>
      <c r="E22" s="16" t="inlineStr">
        <is>
          <t>JOIAS</t>
        </is>
      </c>
      <c r="F22" s="16" t="inlineStr">
        <is>
          <t>JOI-08471</t>
        </is>
      </c>
      <c r="G22" s="16" t="n">
        <v>39</v>
      </c>
      <c r="H22" s="16" t="n">
        <v>403.37</v>
      </c>
      <c r="I22" s="16" t="n">
        <v>15731.43</v>
      </c>
      <c r="J22" s="16" t="n">
        <v>80405771.54000001</v>
      </c>
      <c r="K22" s="16" t="n">
        <v>39</v>
      </c>
      <c r="L22" s="16" t="n">
        <v>403.37</v>
      </c>
      <c r="M22" s="16" t="n">
        <v>15731.43</v>
      </c>
      <c r="N22" s="16" t="n">
        <v>0</v>
      </c>
      <c r="O22" s="16" t="n">
        <v>0</v>
      </c>
      <c r="P22" s="16" t="b">
        <v>0</v>
      </c>
    </row>
    <row r="23">
      <c r="A23" s="16" t="inlineStr">
        <is>
          <t>SIM-EST-0029531</t>
        </is>
      </c>
      <c r="B23" s="16" t="inlineStr">
        <is>
          <t>CD03</t>
        </is>
      </c>
      <c r="C23" s="16" t="inlineStr">
        <is>
          <t>CENTRO_DISTRIBUICAO</t>
        </is>
      </c>
      <c r="D23" s="16" t="inlineStr">
        <is>
          <t>PRODUTO_ACABADO</t>
        </is>
      </c>
      <c r="E23" s="16" t="inlineStr">
        <is>
          <t>JOIAS</t>
        </is>
      </c>
      <c r="F23" s="16" t="inlineStr">
        <is>
          <t>JOI-00464</t>
        </is>
      </c>
      <c r="G23" s="16" t="n">
        <v>86</v>
      </c>
      <c r="H23" s="16" t="n">
        <v>2779.85</v>
      </c>
      <c r="I23" s="16" t="n">
        <v>239067.1</v>
      </c>
      <c r="J23" s="16" t="n">
        <v>85270760.89</v>
      </c>
      <c r="K23" s="16" t="n">
        <v>86</v>
      </c>
      <c r="L23" s="16" t="n">
        <v>2779.85</v>
      </c>
      <c r="M23" s="16" t="n">
        <v>239067.1</v>
      </c>
      <c r="N23" s="16" t="n">
        <v>0</v>
      </c>
      <c r="O23" s="16" t="n">
        <v>0</v>
      </c>
      <c r="P23" s="16" t="b">
        <v>0</v>
      </c>
    </row>
    <row r="24">
      <c r="A24" s="16" t="inlineStr">
        <is>
          <t>SIM-EST-0031286</t>
        </is>
      </c>
      <c r="B24" s="16" t="inlineStr">
        <is>
          <t>CD03</t>
        </is>
      </c>
      <c r="C24" s="16" t="inlineStr">
        <is>
          <t>CENTRO_DISTRIBUICAO</t>
        </is>
      </c>
      <c r="D24" s="16" t="inlineStr">
        <is>
          <t>PRODUTO_ACABADO</t>
        </is>
      </c>
      <c r="E24" s="16" t="inlineStr">
        <is>
          <t>JOIAS</t>
        </is>
      </c>
      <c r="F24" s="16" t="inlineStr">
        <is>
          <t>JOI-09952</t>
        </is>
      </c>
      <c r="G24" s="16" t="n">
        <v>33</v>
      </c>
      <c r="H24" s="16" t="n">
        <v>400.01</v>
      </c>
      <c r="I24" s="16" t="n">
        <v>13200.33</v>
      </c>
      <c r="J24" s="16" t="n">
        <v>90135750.23</v>
      </c>
      <c r="K24" s="16" t="n">
        <v>33</v>
      </c>
      <c r="L24" s="16" t="n">
        <v>400.01</v>
      </c>
      <c r="M24" s="16" t="n">
        <v>13200.33</v>
      </c>
      <c r="N24" s="16" t="n">
        <v>0</v>
      </c>
      <c r="O24" s="16" t="n">
        <v>0</v>
      </c>
      <c r="P24" s="16" t="b">
        <v>0</v>
      </c>
    </row>
    <row r="25">
      <c r="A25" s="16" t="inlineStr">
        <is>
          <t>SIM-EST-0032787</t>
        </is>
      </c>
      <c r="B25" s="16" t="inlineStr">
        <is>
          <t>CD01</t>
        </is>
      </c>
      <c r="C25" s="16" t="inlineStr">
        <is>
          <t>CENTRO_DISTRIBUICAO</t>
        </is>
      </c>
      <c r="D25" s="16" t="inlineStr">
        <is>
          <t>PRODUTO_ACABADO</t>
        </is>
      </c>
      <c r="E25" s="16" t="inlineStr">
        <is>
          <t>RELOGIOS</t>
        </is>
      </c>
      <c r="F25" s="16" t="inlineStr">
        <is>
          <t>REL-01847</t>
        </is>
      </c>
      <c r="G25" s="16" t="n">
        <v>32</v>
      </c>
      <c r="H25" s="16" t="n">
        <v>950.97</v>
      </c>
      <c r="I25" s="16" t="n">
        <v>30431.04</v>
      </c>
      <c r="J25" s="16" t="n">
        <v>95000739.58</v>
      </c>
      <c r="K25" s="16" t="n">
        <v>32</v>
      </c>
      <c r="L25" s="16" t="n">
        <v>950.97</v>
      </c>
      <c r="M25" s="16" t="n">
        <v>30431.04</v>
      </c>
      <c r="N25" s="16" t="n">
        <v>0</v>
      </c>
      <c r="O25" s="16" t="n">
        <v>0</v>
      </c>
      <c r="P25" s="16" t="b">
        <v>0</v>
      </c>
    </row>
    <row r="26">
      <c r="A26" s="16" t="inlineStr">
        <is>
          <t>SIM-EST-0034734</t>
        </is>
      </c>
      <c r="B26" s="16" t="inlineStr">
        <is>
          <t>LJV132</t>
        </is>
      </c>
      <c r="C26" s="16" t="inlineStr">
        <is>
          <t>LOJA_VIVARA</t>
        </is>
      </c>
      <c r="D26" s="16" t="inlineStr">
        <is>
          <t>PRODUTO_ACABADO</t>
        </is>
      </c>
      <c r="E26" s="16" t="inlineStr">
        <is>
          <t>JOIAS</t>
        </is>
      </c>
      <c r="F26" s="16" t="inlineStr">
        <is>
          <t>JOI-01951</t>
        </is>
      </c>
      <c r="G26" s="16" t="n">
        <v>4</v>
      </c>
      <c r="H26" s="16" t="n">
        <v>1654.52</v>
      </c>
      <c r="I26" s="16" t="n">
        <v>6618.08</v>
      </c>
      <c r="J26" s="16" t="n">
        <v>99865728.92</v>
      </c>
      <c r="K26" s="16" t="n">
        <v>4</v>
      </c>
      <c r="L26" s="16" t="n">
        <v>1654.52</v>
      </c>
      <c r="M26" s="16" t="n">
        <v>6618.08</v>
      </c>
      <c r="N26" s="16" t="n">
        <v>0</v>
      </c>
      <c r="O26" s="16" t="n">
        <v>0</v>
      </c>
      <c r="P26" s="16" t="b">
        <v>0</v>
      </c>
    </row>
    <row r="27">
      <c r="A27" s="16" t="inlineStr">
        <is>
          <t>SIM-EST-0036189</t>
        </is>
      </c>
      <c r="B27" s="16" t="inlineStr">
        <is>
          <t>FAB-MAO</t>
        </is>
      </c>
      <c r="C27" s="16" t="inlineStr">
        <is>
          <t>FABRICA</t>
        </is>
      </c>
      <c r="D27" s="16" t="inlineStr">
        <is>
          <t>MATERIA_PRIMA</t>
        </is>
      </c>
      <c r="E27" s="16" t="inlineStr">
        <is>
          <t>PRATA</t>
        </is>
      </c>
      <c r="F27" s="16" t="inlineStr">
        <is>
          <t>MP-PRA-00247</t>
        </is>
      </c>
      <c r="G27" s="16" t="n">
        <v>9067.91</v>
      </c>
      <c r="H27" s="16" t="n">
        <v>5.04</v>
      </c>
      <c r="I27" s="16" t="n">
        <v>45702.27</v>
      </c>
      <c r="J27" s="16" t="n">
        <v>104730718.27</v>
      </c>
      <c r="K27" s="16" t="n">
        <v>9067.91</v>
      </c>
      <c r="L27" s="16" t="n">
        <v>5.04</v>
      </c>
      <c r="M27" s="16" t="n">
        <v>45702.27</v>
      </c>
      <c r="N27" s="16" t="n">
        <v>0</v>
      </c>
      <c r="O27" s="16" t="n">
        <v>0</v>
      </c>
      <c r="P27" s="16" t="b">
        <v>0</v>
      </c>
    </row>
    <row r="28">
      <c r="A28" s="16" t="inlineStr">
        <is>
          <t>SIM-EST-0038355</t>
        </is>
      </c>
      <c r="B28" s="16" t="inlineStr">
        <is>
          <t>CD03</t>
        </is>
      </c>
      <c r="C28" s="16" t="inlineStr">
        <is>
          <t>CENTRO_DISTRIBUICAO</t>
        </is>
      </c>
      <c r="D28" s="16" t="inlineStr">
        <is>
          <t>PRODUTO_ACABADO</t>
        </is>
      </c>
      <c r="E28" s="16" t="inlineStr">
        <is>
          <t>RELOGIOS</t>
        </is>
      </c>
      <c r="F28" s="16" t="inlineStr">
        <is>
          <t>REL-03839</t>
        </is>
      </c>
      <c r="G28" s="16" t="n">
        <v>59</v>
      </c>
      <c r="H28" s="16" t="n">
        <v>141.15</v>
      </c>
      <c r="I28" s="16" t="n">
        <v>8327.85</v>
      </c>
      <c r="J28" s="16" t="n">
        <v>109595707.61</v>
      </c>
      <c r="K28" s="16" t="n">
        <v>59</v>
      </c>
      <c r="L28" s="16" t="n">
        <v>141.15</v>
      </c>
      <c r="M28" s="16" t="n">
        <v>8327.85</v>
      </c>
      <c r="N28" s="16" t="n">
        <v>0</v>
      </c>
      <c r="O28" s="16" t="n">
        <v>0</v>
      </c>
      <c r="P28" s="16" t="b">
        <v>0</v>
      </c>
    </row>
    <row r="29">
      <c r="A29" s="16" t="inlineStr">
        <is>
          <t>SIM-EST-0040213</t>
        </is>
      </c>
      <c r="B29" s="16" t="inlineStr">
        <is>
          <t>CD02</t>
        </is>
      </c>
      <c r="C29" s="16" t="inlineStr">
        <is>
          <t>CENTRO_DISTRIBUICAO</t>
        </is>
      </c>
      <c r="D29" s="16" t="inlineStr">
        <is>
          <t>PRODUTO_ACABADO</t>
        </is>
      </c>
      <c r="E29" s="16" t="inlineStr">
        <is>
          <t>JOIAS</t>
        </is>
      </c>
      <c r="F29" s="16" t="inlineStr">
        <is>
          <t>JOI-06901</t>
        </is>
      </c>
      <c r="G29" s="16" t="n">
        <v>41</v>
      </c>
      <c r="H29" s="16" t="n">
        <v>4272.83</v>
      </c>
      <c r="I29" s="16" t="n">
        <v>175186.03</v>
      </c>
      <c r="J29" s="16" t="n">
        <v>114460696.95</v>
      </c>
      <c r="K29" s="16" t="n">
        <v>41</v>
      </c>
      <c r="L29" s="16" t="n">
        <v>4272.83</v>
      </c>
      <c r="M29" s="16" t="n">
        <v>175186.03</v>
      </c>
      <c r="N29" s="16" t="n">
        <v>0</v>
      </c>
      <c r="O29" s="16" t="n">
        <v>0</v>
      </c>
      <c r="P29" s="16" t="b">
        <v>0</v>
      </c>
    </row>
    <row r="30">
      <c r="A30" s="16" t="inlineStr">
        <is>
          <t>SIM-EST-0042086</t>
        </is>
      </c>
      <c r="B30" s="16" t="inlineStr">
        <is>
          <t>FAB-MAO</t>
        </is>
      </c>
      <c r="C30" s="16" t="inlineStr">
        <is>
          <t>FABRICA</t>
        </is>
      </c>
      <c r="D30" s="16" t="inlineStr">
        <is>
          <t>PRODUTO_ACABADO</t>
        </is>
      </c>
      <c r="E30" s="16" t="inlineStr">
        <is>
          <t>JOIAS</t>
        </is>
      </c>
      <c r="F30" s="16" t="inlineStr">
        <is>
          <t>JOI-11439</t>
        </is>
      </c>
      <c r="G30" s="16" t="n">
        <v>26</v>
      </c>
      <c r="H30" s="16" t="n">
        <v>2660.59</v>
      </c>
      <c r="I30" s="16" t="n">
        <v>69175.34</v>
      </c>
      <c r="J30" s="16" t="n">
        <v>119325686.3</v>
      </c>
      <c r="K30" s="16" t="n">
        <v>26</v>
      </c>
      <c r="L30" s="16" t="n">
        <v>2660.59</v>
      </c>
      <c r="M30" s="16" t="n">
        <v>69175.34</v>
      </c>
      <c r="N30" s="16" t="n">
        <v>0</v>
      </c>
      <c r="O30" s="16" t="n">
        <v>0</v>
      </c>
      <c r="P30" s="16" t="b">
        <v>0</v>
      </c>
    </row>
    <row r="31">
      <c r="A31" s="16" t="inlineStr">
        <is>
          <t>SIM-EST-0043659</t>
        </is>
      </c>
      <c r="B31" s="16" t="inlineStr">
        <is>
          <t>CD02</t>
        </is>
      </c>
      <c r="C31" s="16" t="inlineStr">
        <is>
          <t>CENTRO_DISTRIBUICAO</t>
        </is>
      </c>
      <c r="D31" s="16" t="inlineStr">
        <is>
          <t>PRODUTO_ACABADO</t>
        </is>
      </c>
      <c r="E31" s="16" t="inlineStr">
        <is>
          <t>JOIAS</t>
        </is>
      </c>
      <c r="F31" s="16" t="inlineStr">
        <is>
          <t>JOI-10035</t>
        </is>
      </c>
      <c r="G31" s="16" t="n">
        <v>86</v>
      </c>
      <c r="H31" s="16" t="n">
        <v>617.02</v>
      </c>
      <c r="I31" s="16" t="n">
        <v>53063.72</v>
      </c>
      <c r="J31" s="16" t="n">
        <v>124190675.64</v>
      </c>
      <c r="K31" s="16" t="n">
        <v>86</v>
      </c>
      <c r="L31" s="16" t="n">
        <v>617.02</v>
      </c>
      <c r="M31" s="16" t="n">
        <v>53063.72</v>
      </c>
      <c r="N31" s="16" t="n">
        <v>0</v>
      </c>
      <c r="O31" s="16" t="n">
        <v>0</v>
      </c>
      <c r="P31" s="16" t="b">
        <v>0</v>
      </c>
    </row>
    <row r="32">
      <c r="A32" s="16" t="inlineStr">
        <is>
          <t>SIM-EST-0045461</t>
        </is>
      </c>
      <c r="B32" s="16" t="inlineStr">
        <is>
          <t>FAB-MAO</t>
        </is>
      </c>
      <c r="C32" s="16" t="inlineStr">
        <is>
          <t>FABRICA</t>
        </is>
      </c>
      <c r="D32" s="16" t="inlineStr">
        <is>
          <t>MATERIA_PRIMA</t>
        </is>
      </c>
      <c r="E32" s="16" t="inlineStr">
        <is>
          <t>OURO</t>
        </is>
      </c>
      <c r="F32" s="16" t="inlineStr">
        <is>
          <t>MP-OUR-00369</t>
        </is>
      </c>
      <c r="G32" s="16" t="n">
        <v>491.78</v>
      </c>
      <c r="H32" s="16" t="n">
        <v>358.39</v>
      </c>
      <c r="I32" s="16" t="n">
        <v>176249.03</v>
      </c>
      <c r="J32" s="16" t="n">
        <v>129055664.99</v>
      </c>
      <c r="K32" s="16" t="n">
        <v>491.78</v>
      </c>
      <c r="L32" s="16" t="n">
        <v>358.39</v>
      </c>
      <c r="M32" s="16" t="n">
        <v>176249.03</v>
      </c>
      <c r="N32" s="16" t="n">
        <v>0</v>
      </c>
      <c r="O32" s="16" t="n">
        <v>0</v>
      </c>
      <c r="P32" s="16" t="b">
        <v>0</v>
      </c>
    </row>
    <row r="33">
      <c r="A33" s="16" t="inlineStr">
        <is>
          <t>SIM-EST-0047209</t>
        </is>
      </c>
      <c r="B33" s="16" t="inlineStr">
        <is>
          <t>CD03</t>
        </is>
      </c>
      <c r="C33" s="16" t="inlineStr">
        <is>
          <t>CENTRO_DISTRIBUICAO</t>
        </is>
      </c>
      <c r="D33" s="16" t="inlineStr">
        <is>
          <t>MAT_CONSUMO_EMBALAGEM</t>
        </is>
      </c>
      <c r="E33" s="16" t="inlineStr">
        <is>
          <t>EMBALAGEM</t>
        </is>
      </c>
      <c r="F33" s="16" t="inlineStr">
        <is>
          <t>EMB-00530</t>
        </is>
      </c>
      <c r="G33" s="16" t="n">
        <v>2363</v>
      </c>
      <c r="H33" s="16" t="n">
        <v>41.33</v>
      </c>
      <c r="I33" s="16" t="n">
        <v>97662.78999999999</v>
      </c>
      <c r="J33" s="16" t="n">
        <v>133920654.33</v>
      </c>
      <c r="K33" s="16" t="n">
        <v>2363</v>
      </c>
      <c r="L33" s="16" t="n">
        <v>41.33</v>
      </c>
      <c r="M33" s="16" t="n">
        <v>97662.78999999999</v>
      </c>
      <c r="N33" s="16" t="n">
        <v>0</v>
      </c>
      <c r="O33" s="16" t="n">
        <v>0</v>
      </c>
      <c r="P33" s="16" t="b">
        <v>0</v>
      </c>
    </row>
    <row r="34">
      <c r="A34" s="16" t="inlineStr">
        <is>
          <t>SIM-EST-0048803</t>
        </is>
      </c>
      <c r="B34" s="16" t="inlineStr">
        <is>
          <t>CD02</t>
        </is>
      </c>
      <c r="C34" s="16" t="inlineStr">
        <is>
          <t>CENTRO_DISTRIBUICAO</t>
        </is>
      </c>
      <c r="D34" s="16" t="inlineStr">
        <is>
          <t>PRODUTO_ACABADO</t>
        </is>
      </c>
      <c r="E34" s="16" t="inlineStr">
        <is>
          <t>JOIAS</t>
        </is>
      </c>
      <c r="F34" s="16" t="inlineStr">
        <is>
          <t>JOI-03156</t>
        </is>
      </c>
      <c r="G34" s="16" t="n">
        <v>62</v>
      </c>
      <c r="H34" s="16" t="n">
        <v>610.89</v>
      </c>
      <c r="I34" s="16" t="n">
        <v>37875.18</v>
      </c>
      <c r="J34" s="16" t="n">
        <v>138785643.68</v>
      </c>
      <c r="K34" s="16" t="n">
        <v>62</v>
      </c>
      <c r="L34" s="16" t="n">
        <v>610.89</v>
      </c>
      <c r="M34" s="16" t="n">
        <v>37875.18</v>
      </c>
      <c r="N34" s="16" t="n">
        <v>0</v>
      </c>
      <c r="O34" s="16" t="n">
        <v>0</v>
      </c>
      <c r="P34" s="16" t="b">
        <v>0</v>
      </c>
    </row>
    <row r="35">
      <c r="A35" s="16" t="inlineStr">
        <is>
          <t>SIM-EST-0050069</t>
        </is>
      </c>
      <c r="B35" s="16" t="inlineStr">
        <is>
          <t>CD02</t>
        </is>
      </c>
      <c r="C35" s="16" t="inlineStr">
        <is>
          <t>CENTRO_DISTRIBUICAO</t>
        </is>
      </c>
      <c r="D35" s="16" t="inlineStr">
        <is>
          <t>PRODUTO_ACABADO</t>
        </is>
      </c>
      <c r="E35" s="16" t="inlineStr">
        <is>
          <t>JOIAS</t>
        </is>
      </c>
      <c r="F35" s="16" t="inlineStr">
        <is>
          <t>JOI-08062</t>
        </is>
      </c>
      <c r="G35" s="16" t="n">
        <v>63</v>
      </c>
      <c r="H35" s="16" t="n">
        <v>1002.24</v>
      </c>
      <c r="I35" s="16" t="n">
        <v>63141.12</v>
      </c>
      <c r="J35" s="16" t="n">
        <v>143650633.02</v>
      </c>
      <c r="K35" s="16" t="n">
        <v>63</v>
      </c>
      <c r="L35" s="16" t="n">
        <v>1002.24</v>
      </c>
      <c r="M35" s="16" t="n">
        <v>63141.12</v>
      </c>
      <c r="N35" s="16" t="n">
        <v>0</v>
      </c>
      <c r="O35" s="16" t="n">
        <v>0</v>
      </c>
      <c r="P35" s="16" t="b">
        <v>0</v>
      </c>
    </row>
    <row r="36">
      <c r="A36" s="16" t="inlineStr">
        <is>
          <t>SIM-EST-0051487</t>
        </is>
      </c>
      <c r="B36" s="16" t="inlineStr">
        <is>
          <t>LJV205</t>
        </is>
      </c>
      <c r="C36" s="16" t="inlineStr">
        <is>
          <t>LOJA_VIVARA</t>
        </is>
      </c>
      <c r="D36" s="16" t="inlineStr">
        <is>
          <t>PRODUTO_ACABADO</t>
        </is>
      </c>
      <c r="E36" s="16" t="inlineStr">
        <is>
          <t>JOIAS</t>
        </is>
      </c>
      <c r="F36" s="16" t="inlineStr">
        <is>
          <t>JOI-06650</t>
        </is>
      </c>
      <c r="G36" s="16" t="n">
        <v>4</v>
      </c>
      <c r="H36" s="16" t="n">
        <v>435.37</v>
      </c>
      <c r="I36" s="16" t="n">
        <v>1741.48</v>
      </c>
      <c r="J36" s="16" t="n">
        <v>148515622.37</v>
      </c>
      <c r="K36" s="16" t="n">
        <v>4</v>
      </c>
      <c r="L36" s="16" t="n">
        <v>435.37</v>
      </c>
      <c r="M36" s="16" t="n">
        <v>1741.48</v>
      </c>
      <c r="N36" s="16" t="n">
        <v>0</v>
      </c>
      <c r="O36" s="16" t="n">
        <v>0</v>
      </c>
      <c r="P36" s="16" t="b">
        <v>0</v>
      </c>
    </row>
    <row r="37">
      <c r="A37" s="16" t="inlineStr">
        <is>
          <t>SIM-EST-0053648</t>
        </is>
      </c>
      <c r="B37" s="16" t="inlineStr">
        <is>
          <t>FAB-MAO</t>
        </is>
      </c>
      <c r="C37" s="16" t="inlineStr">
        <is>
          <t>FABRICA</t>
        </is>
      </c>
      <c r="D37" s="16" t="inlineStr">
        <is>
          <t>MATERIA_PRIMA</t>
        </is>
      </c>
      <c r="E37" s="16" t="inlineStr">
        <is>
          <t>PEDRAS_CORADAS</t>
        </is>
      </c>
      <c r="F37" s="16" t="inlineStr">
        <is>
          <t>MP-PED-00711</t>
        </is>
      </c>
      <c r="G37" s="16" t="n">
        <v>28.26</v>
      </c>
      <c r="H37" s="16" t="n">
        <v>638.02</v>
      </c>
      <c r="I37" s="16" t="n">
        <v>18030.45</v>
      </c>
      <c r="J37" s="16" t="n">
        <v>153380611.71</v>
      </c>
      <c r="K37" s="16" t="n">
        <v>28.26</v>
      </c>
      <c r="L37" s="16" t="n">
        <v>638.02</v>
      </c>
      <c r="M37" s="16" t="n">
        <v>18030.45</v>
      </c>
      <c r="N37" s="16" t="n">
        <v>0</v>
      </c>
      <c r="O37" s="16" t="n">
        <v>0</v>
      </c>
      <c r="P37" s="16" t="b">
        <v>0</v>
      </c>
    </row>
    <row r="38">
      <c r="A38" s="16" t="inlineStr">
        <is>
          <t>SIM-EST-0055563</t>
        </is>
      </c>
      <c r="B38" s="16" t="inlineStr">
        <is>
          <t>LJV026</t>
        </is>
      </c>
      <c r="C38" s="16" t="inlineStr">
        <is>
          <t>LOJA_VIVARA</t>
        </is>
      </c>
      <c r="D38" s="16" t="inlineStr">
        <is>
          <t>PRODUTO_ACABADO</t>
        </is>
      </c>
      <c r="E38" s="16" t="inlineStr">
        <is>
          <t>JOIAS</t>
        </is>
      </c>
      <c r="F38" s="16" t="inlineStr">
        <is>
          <t>JOI-06052</t>
        </is>
      </c>
      <c r="G38" s="16" t="n">
        <v>6</v>
      </c>
      <c r="H38" s="16" t="n">
        <v>1021.24</v>
      </c>
      <c r="I38" s="16" t="n">
        <v>6127.44</v>
      </c>
      <c r="J38" s="16" t="n">
        <v>158245601.06</v>
      </c>
      <c r="K38" s="16" t="n">
        <v>5</v>
      </c>
      <c r="L38" s="16" t="n">
        <v>1021.24</v>
      </c>
      <c r="M38" s="16" t="n">
        <v>5106.2</v>
      </c>
      <c r="N38" s="16" t="n">
        <v>1021.24</v>
      </c>
      <c r="O38" s="16" t="n">
        <v>0.166667</v>
      </c>
      <c r="P38" s="16" t="b">
        <v>0</v>
      </c>
    </row>
    <row r="39">
      <c r="A39" s="16" t="inlineStr">
        <is>
          <t>SIM-EST-0057291</t>
        </is>
      </c>
      <c r="B39" s="16" t="inlineStr">
        <is>
          <t>FAB-MAO</t>
        </is>
      </c>
      <c r="C39" s="16" t="inlineStr">
        <is>
          <t>FABRICA</t>
        </is>
      </c>
      <c r="D39" s="16" t="inlineStr">
        <is>
          <t>PRODUTO_ACABADO</t>
        </is>
      </c>
      <c r="E39" s="16" t="inlineStr">
        <is>
          <t>JOIAS</t>
        </is>
      </c>
      <c r="F39" s="16" t="inlineStr">
        <is>
          <t>JOI-11717</t>
        </is>
      </c>
      <c r="G39" s="16" t="n">
        <v>102</v>
      </c>
      <c r="H39" s="16" t="n">
        <v>965.6799999999999</v>
      </c>
      <c r="I39" s="16" t="n">
        <v>98499.36</v>
      </c>
      <c r="J39" s="16" t="n">
        <v>163110590.4</v>
      </c>
      <c r="K39" s="16" t="n">
        <v>102</v>
      </c>
      <c r="L39" s="16" t="n">
        <v>965.6799999999999</v>
      </c>
      <c r="M39" s="16" t="n">
        <v>98499.36</v>
      </c>
      <c r="N39" s="16" t="n">
        <v>0</v>
      </c>
      <c r="O39" s="16" t="n">
        <v>0</v>
      </c>
      <c r="P39" s="16" t="b">
        <v>0</v>
      </c>
    </row>
    <row r="40">
      <c r="A40" s="16" t="inlineStr">
        <is>
          <t>SIM-EST-0058555</t>
        </is>
      </c>
      <c r="B40" s="16" t="inlineStr">
        <is>
          <t>CD01</t>
        </is>
      </c>
      <c r="C40" s="16" t="inlineStr">
        <is>
          <t>CENTRO_DISTRIBUICAO</t>
        </is>
      </c>
      <c r="D40" s="16" t="inlineStr">
        <is>
          <t>PRODUTO_ACABADO</t>
        </is>
      </c>
      <c r="E40" s="16" t="inlineStr">
        <is>
          <t>LIFE</t>
        </is>
      </c>
      <c r="F40" s="16" t="inlineStr">
        <is>
          <t>LIF-04837</t>
        </is>
      </c>
      <c r="G40" s="16" t="n">
        <v>97</v>
      </c>
      <c r="H40" s="16" t="n">
        <v>87.87</v>
      </c>
      <c r="I40" s="16" t="n">
        <v>8523.389999999999</v>
      </c>
      <c r="J40" s="16" t="n">
        <v>167975579.75</v>
      </c>
      <c r="K40" s="16" t="n">
        <v>97</v>
      </c>
      <c r="L40" s="16" t="n">
        <v>87.87</v>
      </c>
      <c r="M40" s="16" t="n">
        <v>8523.389999999999</v>
      </c>
      <c r="N40" s="16" t="n">
        <v>0</v>
      </c>
      <c r="O40" s="16" t="n">
        <v>0</v>
      </c>
      <c r="P40" s="16" t="b">
        <v>0</v>
      </c>
    </row>
    <row r="41">
      <c r="A41" s="16" t="inlineStr">
        <is>
          <t>SIM-EST-0060439</t>
        </is>
      </c>
      <c r="B41" s="16" t="inlineStr">
        <is>
          <t>CD01</t>
        </is>
      </c>
      <c r="C41" s="16" t="inlineStr">
        <is>
          <t>CENTRO_DISTRIBUICAO</t>
        </is>
      </c>
      <c r="D41" s="16" t="inlineStr">
        <is>
          <t>PRODUTO_ACABADO</t>
        </is>
      </c>
      <c r="E41" s="16" t="inlineStr">
        <is>
          <t>JOIAS</t>
        </is>
      </c>
      <c r="F41" s="16" t="inlineStr">
        <is>
          <t>JOI-07328</t>
        </is>
      </c>
      <c r="G41" s="16" t="n">
        <v>21</v>
      </c>
      <c r="H41" s="16" t="n">
        <v>501.3</v>
      </c>
      <c r="I41" s="16" t="n">
        <v>10527.3</v>
      </c>
      <c r="J41" s="16" t="n">
        <v>172840569.09</v>
      </c>
      <c r="K41" s="16" t="n">
        <v>21</v>
      </c>
      <c r="L41" s="16" t="n">
        <v>501.3</v>
      </c>
      <c r="M41" s="16" t="n">
        <v>10527.3</v>
      </c>
      <c r="N41" s="16" t="n">
        <v>0</v>
      </c>
      <c r="O41" s="16" t="n">
        <v>0</v>
      </c>
      <c r="P41" s="16" t="b">
        <v>0</v>
      </c>
    </row>
    <row r="42">
      <c r="A42" s="16" t="inlineStr">
        <is>
          <t>SIM-EST-0062126</t>
        </is>
      </c>
      <c r="B42" s="16" t="inlineStr">
        <is>
          <t>LJV061</t>
        </is>
      </c>
      <c r="C42" s="16" t="inlineStr">
        <is>
          <t>LOJA_VIVARA</t>
        </is>
      </c>
      <c r="D42" s="16" t="inlineStr">
        <is>
          <t>PRODUTO_ACABADO</t>
        </is>
      </c>
      <c r="E42" s="16" t="inlineStr">
        <is>
          <t>JOIAS</t>
        </is>
      </c>
      <c r="F42" s="16" t="inlineStr">
        <is>
          <t>JOI-07217</t>
        </is>
      </c>
      <c r="G42" s="16" t="n">
        <v>3</v>
      </c>
      <c r="H42" s="16" t="n">
        <v>5516.18</v>
      </c>
      <c r="I42" s="16" t="n">
        <v>16548.54</v>
      </c>
      <c r="J42" s="16" t="n">
        <v>177705558.44</v>
      </c>
      <c r="K42" s="16" t="n">
        <v>3</v>
      </c>
      <c r="L42" s="16" t="n">
        <v>5516.18</v>
      </c>
      <c r="M42" s="16" t="n">
        <v>16548.54</v>
      </c>
      <c r="N42" s="16" t="n">
        <v>0</v>
      </c>
      <c r="O42" s="16" t="n">
        <v>0</v>
      </c>
      <c r="P42" s="16" t="b">
        <v>0</v>
      </c>
    </row>
    <row r="43">
      <c r="A43" s="16" t="inlineStr">
        <is>
          <t>SIM-EST-0063798</t>
        </is>
      </c>
      <c r="B43" s="16" t="inlineStr">
        <is>
          <t>CD01</t>
        </is>
      </c>
      <c r="C43" s="16" t="inlineStr">
        <is>
          <t>CENTRO_DISTRIBUICAO</t>
        </is>
      </c>
      <c r="D43" s="16" t="inlineStr">
        <is>
          <t>PRODUTO_ACABADO</t>
        </is>
      </c>
      <c r="E43" s="16" t="inlineStr">
        <is>
          <t>JOIAS</t>
        </is>
      </c>
      <c r="F43" s="16" t="inlineStr">
        <is>
          <t>JOI-01051</t>
        </is>
      </c>
      <c r="G43" s="16" t="n">
        <v>64</v>
      </c>
      <c r="H43" s="16" t="n">
        <v>1671.89</v>
      </c>
      <c r="I43" s="16" t="n">
        <v>107000.96</v>
      </c>
      <c r="J43" s="16" t="n">
        <v>182570547.78</v>
      </c>
      <c r="K43" s="16" t="n">
        <v>64</v>
      </c>
      <c r="L43" s="16" t="n">
        <v>1671.89</v>
      </c>
      <c r="M43" s="16" t="n">
        <v>107000.96</v>
      </c>
      <c r="N43" s="16" t="n">
        <v>0</v>
      </c>
      <c r="O43" s="16" t="n">
        <v>0</v>
      </c>
      <c r="P43" s="16" t="b">
        <v>0</v>
      </c>
    </row>
    <row r="44">
      <c r="A44" s="16" t="inlineStr">
        <is>
          <t>SIM-EST-0065502</t>
        </is>
      </c>
      <c r="B44" s="16" t="inlineStr">
        <is>
          <t>FAB-MAO</t>
        </is>
      </c>
      <c r="C44" s="16" t="inlineStr">
        <is>
          <t>FABRICA</t>
        </is>
      </c>
      <c r="D44" s="16" t="inlineStr">
        <is>
          <t>MATERIA_PRIMA</t>
        </is>
      </c>
      <c r="E44" s="16" t="inlineStr">
        <is>
          <t>DIAMANTES</t>
        </is>
      </c>
      <c r="F44" s="16" t="inlineStr">
        <is>
          <t>MP-DIA-00240</t>
        </is>
      </c>
      <c r="G44" s="16" t="n">
        <v>5.29</v>
      </c>
      <c r="H44" s="16" t="n">
        <v>4941.3</v>
      </c>
      <c r="I44" s="16" t="n">
        <v>26139.48</v>
      </c>
      <c r="J44" s="16" t="n">
        <v>187435537.12</v>
      </c>
      <c r="K44" s="16" t="n">
        <v>5.29</v>
      </c>
      <c r="L44" s="16" t="n">
        <v>4941.3</v>
      </c>
      <c r="M44" s="16" t="n">
        <v>26139.48</v>
      </c>
      <c r="N44" s="16" t="n">
        <v>0</v>
      </c>
      <c r="O44" s="16" t="n">
        <v>0</v>
      </c>
      <c r="P44" s="16" t="b">
        <v>0</v>
      </c>
    </row>
    <row r="45">
      <c r="A45" s="16" t="inlineStr">
        <is>
          <t>SIM-EST-0067332</t>
        </is>
      </c>
      <c r="B45" s="16" t="inlineStr">
        <is>
          <t>CD03</t>
        </is>
      </c>
      <c r="C45" s="16" t="inlineStr">
        <is>
          <t>CENTRO_DISTRIBUICAO</t>
        </is>
      </c>
      <c r="D45" s="16" t="inlineStr">
        <is>
          <t>PRODUTO_ACABADO</t>
        </is>
      </c>
      <c r="E45" s="16" t="inlineStr">
        <is>
          <t>JOIAS</t>
        </is>
      </c>
      <c r="F45" s="16" t="inlineStr">
        <is>
          <t>JOI-10899</t>
        </is>
      </c>
      <c r="G45" s="16" t="n">
        <v>53</v>
      </c>
      <c r="H45" s="16" t="n">
        <v>381.85</v>
      </c>
      <c r="I45" s="16" t="n">
        <v>20238.05</v>
      </c>
      <c r="J45" s="16" t="n">
        <v>192300526.47</v>
      </c>
      <c r="K45" s="16" t="n">
        <v>53</v>
      </c>
      <c r="L45" s="16" t="n">
        <v>381.85</v>
      </c>
      <c r="M45" s="16" t="n">
        <v>20238.05</v>
      </c>
      <c r="N45" s="16" t="n">
        <v>0</v>
      </c>
      <c r="O45" s="16" t="n">
        <v>0</v>
      </c>
      <c r="P45" s="16" t="b">
        <v>0</v>
      </c>
    </row>
    <row r="46">
      <c r="A46" s="16" t="inlineStr">
        <is>
          <t>SIM-EST-0068635</t>
        </is>
      </c>
      <c r="B46" s="16" t="inlineStr">
        <is>
          <t>LJL119</t>
        </is>
      </c>
      <c r="C46" s="16" t="inlineStr">
        <is>
          <t>LOJA_LIFE</t>
        </is>
      </c>
      <c r="D46" s="16" t="inlineStr">
        <is>
          <t>PRODUTO_ACABADO</t>
        </is>
      </c>
      <c r="E46" s="16" t="inlineStr">
        <is>
          <t>LIFE</t>
        </is>
      </c>
      <c r="F46" s="16" t="inlineStr">
        <is>
          <t>LIF-06660</t>
        </is>
      </c>
      <c r="G46" s="16" t="n">
        <v>2</v>
      </c>
      <c r="H46" s="16" t="n">
        <v>83.3</v>
      </c>
      <c r="I46" s="16" t="n">
        <v>166.6</v>
      </c>
      <c r="J46" s="16" t="n">
        <v>197165515.81</v>
      </c>
      <c r="K46" s="16" t="n">
        <v>2</v>
      </c>
      <c r="L46" s="16" t="n">
        <v>83.3</v>
      </c>
      <c r="M46" s="16" t="n">
        <v>166.6</v>
      </c>
      <c r="N46" s="16" t="n">
        <v>0</v>
      </c>
      <c r="O46" s="16" t="n">
        <v>0</v>
      </c>
      <c r="P46" s="16" t="b">
        <v>0</v>
      </c>
    </row>
    <row r="47">
      <c r="A47" s="16" t="inlineStr">
        <is>
          <t>SIM-EST-0070546</t>
        </is>
      </c>
      <c r="B47" s="16" t="inlineStr">
        <is>
          <t>FIL-SP</t>
        </is>
      </c>
      <c r="C47" s="16" t="inlineStr">
        <is>
          <t>FILIAL_COMPRAS</t>
        </is>
      </c>
      <c r="D47" s="16" t="inlineStr">
        <is>
          <t>MATERIA_PRIMA</t>
        </is>
      </c>
      <c r="E47" s="16" t="inlineStr">
        <is>
          <t>DIAMANTES</t>
        </is>
      </c>
      <c r="F47" s="16" t="inlineStr">
        <is>
          <t>MP-DIA-01555</t>
        </is>
      </c>
      <c r="G47" s="16" t="n">
        <v>1.74</v>
      </c>
      <c r="H47" s="16" t="n">
        <v>2269.96</v>
      </c>
      <c r="I47" s="16" t="n">
        <v>3949.73</v>
      </c>
      <c r="J47" s="16" t="n">
        <v>202030505.16</v>
      </c>
      <c r="K47" s="16" t="n">
        <v>1.74</v>
      </c>
      <c r="L47" s="16" t="n">
        <v>2269.96</v>
      </c>
      <c r="M47" s="16" t="n">
        <v>3949.73</v>
      </c>
      <c r="N47" s="16" t="n">
        <v>0</v>
      </c>
      <c r="O47" s="16" t="n">
        <v>0</v>
      </c>
      <c r="P47" s="16" t="b">
        <v>0</v>
      </c>
    </row>
    <row r="48">
      <c r="A48" s="16" t="inlineStr">
        <is>
          <t>SIM-EST-0072361</t>
        </is>
      </c>
      <c r="B48" s="16" t="inlineStr">
        <is>
          <t>FAB-MAO</t>
        </is>
      </c>
      <c r="C48" s="16" t="inlineStr">
        <is>
          <t>FABRICA</t>
        </is>
      </c>
      <c r="D48" s="16" t="inlineStr">
        <is>
          <t>PRODUTO_ACABADO</t>
        </is>
      </c>
      <c r="E48" s="16" t="inlineStr">
        <is>
          <t>JOIAS</t>
        </is>
      </c>
      <c r="F48" s="16" t="inlineStr">
        <is>
          <t>JOI-08441</t>
        </is>
      </c>
      <c r="G48" s="16" t="n">
        <v>96</v>
      </c>
      <c r="H48" s="16" t="n">
        <v>812.39</v>
      </c>
      <c r="I48" s="16" t="n">
        <v>77989.44</v>
      </c>
      <c r="J48" s="16" t="n">
        <v>206895494.5</v>
      </c>
      <c r="K48" s="16" t="n">
        <v>96</v>
      </c>
      <c r="L48" s="16" t="n">
        <v>812.39</v>
      </c>
      <c r="M48" s="16" t="n">
        <v>77989.44</v>
      </c>
      <c r="N48" s="16" t="n">
        <v>0</v>
      </c>
      <c r="O48" s="16" t="n">
        <v>0</v>
      </c>
      <c r="P48" s="16" t="b">
        <v>0</v>
      </c>
    </row>
    <row r="49">
      <c r="A49" s="16" t="inlineStr">
        <is>
          <t>SIM-EST-0073809</t>
        </is>
      </c>
      <c r="B49" s="16" t="inlineStr">
        <is>
          <t>CD01</t>
        </is>
      </c>
      <c r="C49" s="16" t="inlineStr">
        <is>
          <t>CENTRO_DISTRIBUICAO</t>
        </is>
      </c>
      <c r="D49" s="16" t="inlineStr">
        <is>
          <t>PRODUTO_ACABADO</t>
        </is>
      </c>
      <c r="E49" s="16" t="inlineStr">
        <is>
          <t>JOIAS</t>
        </is>
      </c>
      <c r="F49" s="16" t="inlineStr">
        <is>
          <t>JOI-11853</t>
        </is>
      </c>
      <c r="G49" s="16" t="n">
        <v>91</v>
      </c>
      <c r="H49" s="16" t="n">
        <v>1714.88</v>
      </c>
      <c r="I49" s="16" t="n">
        <v>156054.08</v>
      </c>
      <c r="J49" s="16" t="n">
        <v>211760483.85</v>
      </c>
      <c r="K49" s="16" t="n">
        <v>91</v>
      </c>
      <c r="L49" s="16" t="n">
        <v>1714.88</v>
      </c>
      <c r="M49" s="16" t="n">
        <v>156054.08</v>
      </c>
      <c r="N49" s="16" t="n">
        <v>0</v>
      </c>
      <c r="O49" s="16" t="n">
        <v>0</v>
      </c>
      <c r="P49" s="16" t="b">
        <v>0</v>
      </c>
    </row>
    <row r="50">
      <c r="A50" s="16" t="inlineStr">
        <is>
          <t>SIM-EST-0074867</t>
        </is>
      </c>
      <c r="B50" s="16" t="inlineStr">
        <is>
          <t>LJV216</t>
        </is>
      </c>
      <c r="C50" s="16" t="inlineStr">
        <is>
          <t>LOJA_VIVARA</t>
        </is>
      </c>
      <c r="D50" s="16" t="inlineStr">
        <is>
          <t>PRODUTO_ACABADO</t>
        </is>
      </c>
      <c r="E50" s="16" t="inlineStr">
        <is>
          <t>JOIAS</t>
        </is>
      </c>
      <c r="F50" s="16" t="inlineStr">
        <is>
          <t>JOI-03242</t>
        </is>
      </c>
      <c r="G50" s="16" t="n">
        <v>5</v>
      </c>
      <c r="H50" s="16" t="n">
        <v>324.49</v>
      </c>
      <c r="I50" s="16" t="n">
        <v>1622.45</v>
      </c>
      <c r="J50" s="16" t="n">
        <v>216625473.19</v>
      </c>
      <c r="K50" s="16" t="n">
        <v>5</v>
      </c>
      <c r="L50" s="16" t="n">
        <v>324.49</v>
      </c>
      <c r="M50" s="16" t="n">
        <v>1622.45</v>
      </c>
      <c r="N50" s="16" t="n">
        <v>0</v>
      </c>
      <c r="O50" s="16" t="n">
        <v>0</v>
      </c>
      <c r="P50" s="16" t="b">
        <v>0</v>
      </c>
    </row>
    <row r="51">
      <c r="A51" s="16" t="inlineStr">
        <is>
          <t>SIM-EST-0075891</t>
        </is>
      </c>
      <c r="B51" s="16" t="inlineStr">
        <is>
          <t>FAB-MAO</t>
        </is>
      </c>
      <c r="C51" s="16" t="inlineStr">
        <is>
          <t>FABRICA</t>
        </is>
      </c>
      <c r="D51" s="16" t="inlineStr">
        <is>
          <t>MATERIA_PRIMA</t>
        </is>
      </c>
      <c r="E51" s="16" t="inlineStr">
        <is>
          <t>OURO</t>
        </is>
      </c>
      <c r="F51" s="16" t="inlineStr">
        <is>
          <t>MP-OUR-00881</t>
        </is>
      </c>
      <c r="G51" s="16" t="n">
        <v>309.52</v>
      </c>
      <c r="H51" s="16" t="n">
        <v>359.76</v>
      </c>
      <c r="I51" s="16" t="n">
        <v>111352.92</v>
      </c>
      <c r="J51" s="16" t="n">
        <v>221490462.54</v>
      </c>
      <c r="K51" s="16" t="n">
        <v>309.52</v>
      </c>
      <c r="L51" s="16" t="n">
        <v>359.76</v>
      </c>
      <c r="M51" s="16" t="n">
        <v>111352.92</v>
      </c>
      <c r="N51" s="16" t="n">
        <v>0</v>
      </c>
      <c r="O51" s="16" t="n">
        <v>0</v>
      </c>
      <c r="P51" s="16" t="b">
        <v>0</v>
      </c>
    </row>
    <row r="52">
      <c r="A52" s="16" t="inlineStr">
        <is>
          <t>SIM-EST-0077440</t>
        </is>
      </c>
      <c r="B52" s="16" t="inlineStr">
        <is>
          <t>CD02</t>
        </is>
      </c>
      <c r="C52" s="16" t="inlineStr">
        <is>
          <t>CENTRO_DISTRIBUICAO</t>
        </is>
      </c>
      <c r="D52" s="16" t="inlineStr">
        <is>
          <t>PRODUTO_ACABADO</t>
        </is>
      </c>
      <c r="E52" s="16" t="inlineStr">
        <is>
          <t>JOIAS</t>
        </is>
      </c>
      <c r="F52" s="16" t="inlineStr">
        <is>
          <t>JOI-01217</t>
        </is>
      </c>
      <c r="G52" s="16" t="n">
        <v>34</v>
      </c>
      <c r="H52" s="16" t="n">
        <v>3743.24</v>
      </c>
      <c r="I52" s="16" t="n">
        <v>127270.16</v>
      </c>
      <c r="J52" s="16" t="n">
        <v>226355451.88</v>
      </c>
      <c r="K52" s="16" t="n">
        <v>34</v>
      </c>
      <c r="L52" s="16" t="n">
        <v>3743.24</v>
      </c>
      <c r="M52" s="16" t="n">
        <v>127270.16</v>
      </c>
      <c r="N52" s="16" t="n">
        <v>0</v>
      </c>
      <c r="O52" s="16" t="n">
        <v>0</v>
      </c>
      <c r="P52" s="16" t="b">
        <v>0</v>
      </c>
    </row>
    <row r="53">
      <c r="A53" s="16" t="inlineStr">
        <is>
          <t>SIM-EST-0078869</t>
        </is>
      </c>
      <c r="B53" s="16" t="inlineStr">
        <is>
          <t>FAB-MAO</t>
        </is>
      </c>
      <c r="C53" s="16" t="inlineStr">
        <is>
          <t>FABRICA</t>
        </is>
      </c>
      <c r="D53" s="16" t="inlineStr">
        <is>
          <t>MATERIA_PRIMA</t>
        </is>
      </c>
      <c r="E53" s="16" t="inlineStr">
        <is>
          <t>PRATA</t>
        </is>
      </c>
      <c r="F53" s="16" t="inlineStr">
        <is>
          <t>MP-PRA-00009</t>
        </is>
      </c>
      <c r="G53" s="16" t="n">
        <v>14335.06</v>
      </c>
      <c r="H53" s="16" t="n">
        <v>5.04</v>
      </c>
      <c r="I53" s="16" t="n">
        <v>72248.7</v>
      </c>
      <c r="J53" s="16" t="n">
        <v>231220441.23</v>
      </c>
      <c r="K53" s="16" t="n">
        <v>14335.06</v>
      </c>
      <c r="L53" s="16" t="n">
        <v>5.04</v>
      </c>
      <c r="M53" s="16" t="n">
        <v>72248.7</v>
      </c>
      <c r="N53" s="16" t="n">
        <v>0</v>
      </c>
      <c r="O53" s="16" t="n">
        <v>0</v>
      </c>
      <c r="P53" s="16" t="b">
        <v>0</v>
      </c>
    </row>
    <row r="54">
      <c r="A54" s="16" t="inlineStr">
        <is>
          <t>SIM-EST-0080555</t>
        </is>
      </c>
      <c r="B54" s="16" t="inlineStr">
        <is>
          <t>CD03</t>
        </is>
      </c>
      <c r="C54" s="16" t="inlineStr">
        <is>
          <t>CENTRO_DISTRIBUICAO</t>
        </is>
      </c>
      <c r="D54" s="16" t="inlineStr">
        <is>
          <t>PRODUTO_ACABADO</t>
        </is>
      </c>
      <c r="E54" s="16" t="inlineStr">
        <is>
          <t>JOIAS</t>
        </is>
      </c>
      <c r="F54" s="16" t="inlineStr">
        <is>
          <t>JOI-10545</t>
        </is>
      </c>
      <c r="G54" s="16" t="n">
        <v>43</v>
      </c>
      <c r="H54" s="16" t="n">
        <v>313.84</v>
      </c>
      <c r="I54" s="16" t="n">
        <v>13495.12</v>
      </c>
      <c r="J54" s="16" t="n">
        <v>236085430.57</v>
      </c>
      <c r="K54" s="16" t="n">
        <v>43</v>
      </c>
      <c r="L54" s="16" t="n">
        <v>313.84</v>
      </c>
      <c r="M54" s="16" t="n">
        <v>13495.12</v>
      </c>
      <c r="N54" s="16" t="n">
        <v>0</v>
      </c>
      <c r="O54" s="16" t="n">
        <v>0</v>
      </c>
      <c r="P54" s="16" t="b">
        <v>0</v>
      </c>
    </row>
    <row r="55">
      <c r="A55" s="16" t="inlineStr">
        <is>
          <t>SIM-EST-0082333</t>
        </is>
      </c>
      <c r="B55" s="16" t="inlineStr">
        <is>
          <t>LJV117</t>
        </is>
      </c>
      <c r="C55" s="16" t="inlineStr">
        <is>
          <t>LOJA_VIVARA</t>
        </is>
      </c>
      <c r="D55" s="16" t="inlineStr">
        <is>
          <t>PRODUTO_ACABADO</t>
        </is>
      </c>
      <c r="E55" s="16" t="inlineStr">
        <is>
          <t>RELOGIOS</t>
        </is>
      </c>
      <c r="F55" s="16" t="inlineStr">
        <is>
          <t>REL-00830</t>
        </is>
      </c>
      <c r="G55" s="16" t="n">
        <v>3</v>
      </c>
      <c r="H55" s="16" t="n">
        <v>815.51</v>
      </c>
      <c r="I55" s="16" t="n">
        <v>2446.53</v>
      </c>
      <c r="J55" s="16" t="n">
        <v>240950419.92</v>
      </c>
      <c r="K55" s="16" t="n">
        <v>3</v>
      </c>
      <c r="L55" s="16" t="n">
        <v>815.51</v>
      </c>
      <c r="M55" s="16" t="n">
        <v>2446.53</v>
      </c>
      <c r="N55" s="16" t="n">
        <v>0</v>
      </c>
      <c r="O55" s="16" t="n">
        <v>0</v>
      </c>
      <c r="P55" s="16" t="b">
        <v>0</v>
      </c>
    </row>
    <row r="56">
      <c r="A56" s="16" t="inlineStr">
        <is>
          <t>SIM-EST-0083904</t>
        </is>
      </c>
      <c r="B56" s="16" t="inlineStr">
        <is>
          <t>LJV077</t>
        </is>
      </c>
      <c r="C56" s="16" t="inlineStr">
        <is>
          <t>LOJA_VIVARA</t>
        </is>
      </c>
      <c r="D56" s="16" t="inlineStr">
        <is>
          <t>MAT_CONSUMO_EMBALAGEM</t>
        </is>
      </c>
      <c r="E56" s="16" t="inlineStr">
        <is>
          <t>EMBALAGEM</t>
        </is>
      </c>
      <c r="F56" s="16" t="inlineStr">
        <is>
          <t>EMB-00239</t>
        </is>
      </c>
      <c r="G56" s="16" t="n">
        <v>255</v>
      </c>
      <c r="H56" s="16" t="n">
        <v>33.48</v>
      </c>
      <c r="I56" s="16" t="n">
        <v>8537.4</v>
      </c>
      <c r="J56" s="16" t="n">
        <v>245815409.26</v>
      </c>
      <c r="K56" s="16" t="n">
        <v>255</v>
      </c>
      <c r="L56" s="16" t="n">
        <v>33.48</v>
      </c>
      <c r="M56" s="16" t="n">
        <v>8537.4</v>
      </c>
      <c r="N56" s="16" t="n">
        <v>0</v>
      </c>
      <c r="O56" s="16" t="n">
        <v>0</v>
      </c>
      <c r="P56" s="16" t="b">
        <v>0</v>
      </c>
    </row>
    <row r="57">
      <c r="A57" s="16" t="inlineStr">
        <is>
          <t>SIM-EST-0085645</t>
        </is>
      </c>
      <c r="B57" s="16" t="inlineStr">
        <is>
          <t>LJV106</t>
        </is>
      </c>
      <c r="C57" s="16" t="inlineStr">
        <is>
          <t>LOJA_VIVARA</t>
        </is>
      </c>
      <c r="D57" s="16" t="inlineStr">
        <is>
          <t>PRODUTO_ACABADO</t>
        </is>
      </c>
      <c r="E57" s="16" t="inlineStr">
        <is>
          <t>JOIAS</t>
        </is>
      </c>
      <c r="F57" s="16" t="inlineStr">
        <is>
          <t>JOI-06167</t>
        </is>
      </c>
      <c r="G57" s="16" t="n">
        <v>3</v>
      </c>
      <c r="H57" s="16" t="n">
        <v>651.58</v>
      </c>
      <c r="I57" s="16" t="n">
        <v>1954.74</v>
      </c>
      <c r="J57" s="16" t="n">
        <v>250680398.61</v>
      </c>
      <c r="K57" s="16" t="n">
        <v>3</v>
      </c>
      <c r="L57" s="16" t="n">
        <v>651.58</v>
      </c>
      <c r="M57" s="16" t="n">
        <v>1954.74</v>
      </c>
      <c r="N57" s="16" t="n">
        <v>0</v>
      </c>
      <c r="O57" s="16" t="n">
        <v>0</v>
      </c>
      <c r="P57" s="16" t="b">
        <v>0</v>
      </c>
    </row>
    <row r="58">
      <c r="A58" s="16" t="inlineStr">
        <is>
          <t>SIM-EST-0087420</t>
        </is>
      </c>
      <c r="B58" s="16" t="inlineStr">
        <is>
          <t>FIL-SP</t>
        </is>
      </c>
      <c r="C58" s="16" t="inlineStr">
        <is>
          <t>FILIAL_COMPRAS</t>
        </is>
      </c>
      <c r="D58" s="16" t="inlineStr">
        <is>
          <t>MATERIA_PRIMA</t>
        </is>
      </c>
      <c r="E58" s="16" t="inlineStr">
        <is>
          <t>PRATA</t>
        </is>
      </c>
      <c r="F58" s="16" t="inlineStr">
        <is>
          <t>MP-PRA-00145</t>
        </is>
      </c>
      <c r="G58" s="16" t="n">
        <v>40727.6</v>
      </c>
      <c r="H58" s="16" t="n">
        <v>4.94</v>
      </c>
      <c r="I58" s="16" t="n">
        <v>201194.34</v>
      </c>
      <c r="J58" s="16" t="n">
        <v>255545387.95</v>
      </c>
      <c r="K58" s="16" t="n">
        <v>40727.6</v>
      </c>
      <c r="L58" s="16" t="n">
        <v>4.94</v>
      </c>
      <c r="M58" s="16" t="n">
        <v>201194.34</v>
      </c>
      <c r="N58" s="16" t="n">
        <v>0</v>
      </c>
      <c r="O58" s="16" t="n">
        <v>0</v>
      </c>
      <c r="P58" s="16" t="b">
        <v>0</v>
      </c>
    </row>
    <row r="59">
      <c r="A59" s="16" t="inlineStr">
        <is>
          <t>SIM-EST-0089352</t>
        </is>
      </c>
      <c r="B59" s="16" t="inlineStr">
        <is>
          <t>CD02</t>
        </is>
      </c>
      <c r="C59" s="16" t="inlineStr">
        <is>
          <t>CENTRO_DISTRIBUICAO</t>
        </is>
      </c>
      <c r="D59" s="16" t="inlineStr">
        <is>
          <t>PRODUTO_ACABADO</t>
        </is>
      </c>
      <c r="E59" s="16" t="inlineStr">
        <is>
          <t>RELOGIOS</t>
        </is>
      </c>
      <c r="F59" s="16" t="inlineStr">
        <is>
          <t>REL-01060</t>
        </is>
      </c>
      <c r="G59" s="16" t="n">
        <v>60</v>
      </c>
      <c r="H59" s="16" t="n">
        <v>796.1900000000001</v>
      </c>
      <c r="I59" s="16" t="n">
        <v>47771.4</v>
      </c>
      <c r="J59" s="16" t="n">
        <v>260410377.29</v>
      </c>
      <c r="K59" s="16" t="n">
        <v>60</v>
      </c>
      <c r="L59" s="16" t="n">
        <v>796.1900000000001</v>
      </c>
      <c r="M59" s="16" t="n">
        <v>47771.4</v>
      </c>
      <c r="N59" s="16" t="n">
        <v>0</v>
      </c>
      <c r="O59" s="16" t="n">
        <v>0</v>
      </c>
      <c r="P59" s="16" t="b">
        <v>0</v>
      </c>
    </row>
    <row r="60">
      <c r="A60" s="16" t="inlineStr">
        <is>
          <t>SIM-EST-0090729</t>
        </is>
      </c>
      <c r="B60" s="16" t="inlineStr">
        <is>
          <t>CD03</t>
        </is>
      </c>
      <c r="C60" s="16" t="inlineStr">
        <is>
          <t>CENTRO_DISTRIBUICAO</t>
        </is>
      </c>
      <c r="D60" s="16" t="inlineStr">
        <is>
          <t>PRODUTO_ACABADO</t>
        </is>
      </c>
      <c r="E60" s="16" t="inlineStr">
        <is>
          <t>RELOGIOS</t>
        </is>
      </c>
      <c r="F60" s="16" t="inlineStr">
        <is>
          <t>REL-02295</t>
        </is>
      </c>
      <c r="G60" s="16" t="n">
        <v>33</v>
      </c>
      <c r="H60" s="16" t="n">
        <v>240.13</v>
      </c>
      <c r="I60" s="16" t="n">
        <v>7924.29</v>
      </c>
      <c r="J60" s="16" t="n">
        <v>265275366.64</v>
      </c>
      <c r="K60" s="16" t="n">
        <v>33</v>
      </c>
      <c r="L60" s="16" t="n">
        <v>240.13</v>
      </c>
      <c r="M60" s="16" t="n">
        <v>7924.29</v>
      </c>
      <c r="N60" s="16" t="n">
        <v>0</v>
      </c>
      <c r="O60" s="16" t="n">
        <v>0</v>
      </c>
      <c r="P60" s="16" t="b">
        <v>0</v>
      </c>
    </row>
    <row r="61">
      <c r="A61" s="16" t="inlineStr">
        <is>
          <t>SIM-EST-0092657</t>
        </is>
      </c>
      <c r="B61" s="16" t="inlineStr">
        <is>
          <t>LJV185</t>
        </is>
      </c>
      <c r="C61" s="16" t="inlineStr">
        <is>
          <t>LOJA_VIVARA</t>
        </is>
      </c>
      <c r="D61" s="16" t="inlineStr">
        <is>
          <t>PRODUTO_ACABADO</t>
        </is>
      </c>
      <c r="E61" s="16" t="inlineStr">
        <is>
          <t>JOIAS</t>
        </is>
      </c>
      <c r="F61" s="16" t="inlineStr">
        <is>
          <t>JOI-09765</t>
        </is>
      </c>
      <c r="G61" s="16" t="n">
        <v>1</v>
      </c>
      <c r="H61" s="16" t="n">
        <v>146.13</v>
      </c>
      <c r="I61" s="16" t="n">
        <v>146.13</v>
      </c>
      <c r="J61" s="16" t="n">
        <v>270140355.98</v>
      </c>
      <c r="K61" s="16" t="n">
        <v>1</v>
      </c>
      <c r="L61" s="16" t="n">
        <v>146.13</v>
      </c>
      <c r="M61" s="16" t="n">
        <v>146.13</v>
      </c>
      <c r="N61" s="16" t="n">
        <v>0</v>
      </c>
      <c r="O61" s="16" t="n">
        <v>0</v>
      </c>
      <c r="P61" s="16" t="b">
        <v>0</v>
      </c>
    </row>
    <row r="62">
      <c r="A62" s="16" t="inlineStr">
        <is>
          <t>SIM-EST-0094838</t>
        </is>
      </c>
      <c r="B62" s="16" t="inlineStr">
        <is>
          <t>CD03</t>
        </is>
      </c>
      <c r="C62" s="16" t="inlineStr">
        <is>
          <t>CENTRO_DISTRIBUICAO</t>
        </is>
      </c>
      <c r="D62" s="16" t="inlineStr">
        <is>
          <t>PRODUTO_ACABADO</t>
        </is>
      </c>
      <c r="E62" s="16" t="inlineStr">
        <is>
          <t>RELOGIOS</t>
        </is>
      </c>
      <c r="F62" s="16" t="inlineStr">
        <is>
          <t>REL-02527</t>
        </is>
      </c>
      <c r="G62" s="16" t="n">
        <v>10</v>
      </c>
      <c r="H62" s="16" t="n">
        <v>1138.72</v>
      </c>
      <c r="I62" s="16" t="n">
        <v>11387.2</v>
      </c>
      <c r="J62" s="16" t="n">
        <v>275005345.33</v>
      </c>
      <c r="K62" s="16" t="n">
        <v>10</v>
      </c>
      <c r="L62" s="16" t="n">
        <v>1138.72</v>
      </c>
      <c r="M62" s="16" t="n">
        <v>11387.2</v>
      </c>
      <c r="N62" s="16" t="n">
        <v>0</v>
      </c>
      <c r="O62" s="16" t="n">
        <v>0</v>
      </c>
      <c r="P62" s="16" t="b">
        <v>0</v>
      </c>
    </row>
    <row r="63">
      <c r="A63" s="16" t="inlineStr">
        <is>
          <t>SIM-EST-0096862</t>
        </is>
      </c>
      <c r="B63" s="16" t="inlineStr">
        <is>
          <t>LJV035</t>
        </is>
      </c>
      <c r="C63" s="16" t="inlineStr">
        <is>
          <t>LOJA_VIVARA</t>
        </is>
      </c>
      <c r="D63" s="16" t="inlineStr">
        <is>
          <t>PRODUTO_ACABADO</t>
        </is>
      </c>
      <c r="E63" s="16" t="inlineStr">
        <is>
          <t>JOIAS</t>
        </is>
      </c>
      <c r="F63" s="16" t="inlineStr">
        <is>
          <t>JOI-11197</t>
        </is>
      </c>
      <c r="G63" s="16" t="n">
        <v>3</v>
      </c>
      <c r="H63" s="16" t="n">
        <v>4226.36</v>
      </c>
      <c r="I63" s="16" t="n">
        <v>12679.08</v>
      </c>
      <c r="J63" s="16" t="n">
        <v>279870334.67</v>
      </c>
      <c r="K63" s="16" t="n">
        <v>3</v>
      </c>
      <c r="L63" s="16" t="n">
        <v>4226.36</v>
      </c>
      <c r="M63" s="16" t="n">
        <v>12679.08</v>
      </c>
      <c r="N63" s="16" t="n">
        <v>0</v>
      </c>
      <c r="O63" s="16" t="n">
        <v>0</v>
      </c>
      <c r="P63" s="16" t="b">
        <v>0</v>
      </c>
    </row>
    <row r="64">
      <c r="A64" s="16" t="inlineStr">
        <is>
          <t>SIM-EST-0098585</t>
        </is>
      </c>
      <c r="B64" s="16" t="inlineStr">
        <is>
          <t>FAB-MAO</t>
        </is>
      </c>
      <c r="C64" s="16" t="inlineStr">
        <is>
          <t>FABRICA</t>
        </is>
      </c>
      <c r="D64" s="16" t="inlineStr">
        <is>
          <t>MATERIA_PRIMA</t>
        </is>
      </c>
      <c r="E64" s="16" t="inlineStr">
        <is>
          <t>PRATA</t>
        </is>
      </c>
      <c r="F64" s="16" t="inlineStr">
        <is>
          <t>MP-PRA-00581</t>
        </is>
      </c>
      <c r="G64" s="16" t="n">
        <v>5582.84</v>
      </c>
      <c r="H64" s="16" t="n">
        <v>4.82</v>
      </c>
      <c r="I64" s="16" t="n">
        <v>26909.29</v>
      </c>
      <c r="J64" s="16" t="n">
        <v>284735324.02</v>
      </c>
      <c r="K64" s="16" t="n">
        <v>5582.84</v>
      </c>
      <c r="L64" s="16" t="n">
        <v>4.82</v>
      </c>
      <c r="M64" s="16" t="n">
        <v>26909.29</v>
      </c>
      <c r="N64" s="16" t="n">
        <v>0</v>
      </c>
      <c r="O64" s="16" t="n">
        <v>0</v>
      </c>
      <c r="P64" s="16" t="b">
        <v>0</v>
      </c>
    </row>
    <row r="65">
      <c r="A65" s="16" t="inlineStr">
        <is>
          <t>SIM-EST-0100280</t>
        </is>
      </c>
      <c r="B65" s="16" t="inlineStr">
        <is>
          <t>LJV093</t>
        </is>
      </c>
      <c r="C65" s="16" t="inlineStr">
        <is>
          <t>LOJA_VIVARA</t>
        </is>
      </c>
      <c r="D65" s="16" t="inlineStr">
        <is>
          <t>PRODUTO_ACABADO</t>
        </is>
      </c>
      <c r="E65" s="16" t="inlineStr">
        <is>
          <t>JOIAS</t>
        </is>
      </c>
      <c r="F65" s="16" t="inlineStr">
        <is>
          <t>JOI-04349</t>
        </is>
      </c>
      <c r="G65" s="16" t="n">
        <v>5</v>
      </c>
      <c r="H65" s="16" t="n">
        <v>1889.83</v>
      </c>
      <c r="I65" s="16" t="n">
        <v>9449.15</v>
      </c>
      <c r="J65" s="16" t="n">
        <v>289600313.36</v>
      </c>
      <c r="K65" s="16" t="n">
        <v>5</v>
      </c>
      <c r="L65" s="16" t="n">
        <v>1889.83</v>
      </c>
      <c r="M65" s="16" t="n">
        <v>9449.15</v>
      </c>
      <c r="N65" s="16" t="n">
        <v>0</v>
      </c>
      <c r="O65" s="16" t="n">
        <v>0</v>
      </c>
      <c r="P65" s="16" t="b">
        <v>0</v>
      </c>
    </row>
    <row r="66">
      <c r="A66" s="16" t="inlineStr">
        <is>
          <t>SIM-EST-0102349</t>
        </is>
      </c>
      <c r="B66" s="16" t="inlineStr">
        <is>
          <t>CD03</t>
        </is>
      </c>
      <c r="C66" s="16" t="inlineStr">
        <is>
          <t>CENTRO_DISTRIBUICAO</t>
        </is>
      </c>
      <c r="D66" s="16" t="inlineStr">
        <is>
          <t>PRODUTO_ACABADO</t>
        </is>
      </c>
      <c r="E66" s="16" t="inlineStr">
        <is>
          <t>JOIAS</t>
        </is>
      </c>
      <c r="F66" s="16" t="inlineStr">
        <is>
          <t>JOI-10209</t>
        </is>
      </c>
      <c r="G66" s="16" t="n">
        <v>33</v>
      </c>
      <c r="H66" s="16" t="n">
        <v>1039.24</v>
      </c>
      <c r="I66" s="16" t="n">
        <v>34294.92</v>
      </c>
      <c r="J66" s="16" t="n">
        <v>294465302.71</v>
      </c>
      <c r="K66" s="16" t="n">
        <v>33</v>
      </c>
      <c r="L66" s="16" t="n">
        <v>1039.24</v>
      </c>
      <c r="M66" s="16" t="n">
        <v>34294.92</v>
      </c>
      <c r="N66" s="16" t="n">
        <v>0</v>
      </c>
      <c r="O66" s="16" t="n">
        <v>0</v>
      </c>
      <c r="P66" s="16" t="b">
        <v>0</v>
      </c>
    </row>
    <row r="67">
      <c r="A67" s="16" t="inlineStr">
        <is>
          <t>SIM-EST-0104411</t>
        </is>
      </c>
      <c r="B67" s="16" t="inlineStr">
        <is>
          <t>FAB-MAO</t>
        </is>
      </c>
      <c r="C67" s="16" t="inlineStr">
        <is>
          <t>FABRICA</t>
        </is>
      </c>
      <c r="D67" s="16" t="inlineStr">
        <is>
          <t>PRODUTO_ACABADO</t>
        </is>
      </c>
      <c r="E67" s="16" t="inlineStr">
        <is>
          <t>JOIAS</t>
        </is>
      </c>
      <c r="F67" s="16" t="inlineStr">
        <is>
          <t>JOI-10440</t>
        </is>
      </c>
      <c r="G67" s="16" t="n">
        <v>30</v>
      </c>
      <c r="H67" s="16" t="n">
        <v>2966.15</v>
      </c>
      <c r="I67" s="16" t="n">
        <v>88984.5</v>
      </c>
      <c r="J67" s="16" t="n">
        <v>299330292.05</v>
      </c>
      <c r="K67" s="16" t="n">
        <v>30</v>
      </c>
      <c r="L67" s="16" t="n">
        <v>2966.15</v>
      </c>
      <c r="M67" s="16" t="n">
        <v>88984.5</v>
      </c>
      <c r="N67" s="16" t="n">
        <v>0</v>
      </c>
      <c r="O67" s="16" t="n">
        <v>0</v>
      </c>
      <c r="P67" s="16" t="b">
        <v>0</v>
      </c>
    </row>
    <row r="68">
      <c r="A68" s="16" t="inlineStr">
        <is>
          <t>SIM-EST-0105605</t>
        </is>
      </c>
      <c r="B68" s="16" t="inlineStr">
        <is>
          <t>LJV022</t>
        </is>
      </c>
      <c r="C68" s="16" t="inlineStr">
        <is>
          <t>LOJA_VIVARA</t>
        </is>
      </c>
      <c r="D68" s="16" t="inlineStr">
        <is>
          <t>PRODUTO_ACABADO</t>
        </is>
      </c>
      <c r="E68" s="16" t="inlineStr">
        <is>
          <t>JOIAS</t>
        </is>
      </c>
      <c r="F68" s="16" t="inlineStr">
        <is>
          <t>JOI-05106</t>
        </is>
      </c>
      <c r="G68" s="16" t="n">
        <v>3</v>
      </c>
      <c r="H68" s="16" t="n">
        <v>649.51</v>
      </c>
      <c r="I68" s="16" t="n">
        <v>1948.53</v>
      </c>
      <c r="J68" s="16" t="n">
        <v>304195281.4</v>
      </c>
      <c r="K68" s="16" t="n">
        <v>3</v>
      </c>
      <c r="L68" s="16" t="n">
        <v>649.51</v>
      </c>
      <c r="M68" s="16" t="n">
        <v>1948.53</v>
      </c>
      <c r="N68" s="16" t="n">
        <v>0</v>
      </c>
      <c r="O68" s="16" t="n">
        <v>0</v>
      </c>
      <c r="P68" s="16" t="b">
        <v>0</v>
      </c>
    </row>
    <row r="69">
      <c r="A69" s="16" t="inlineStr">
        <is>
          <t>SIM-EST-0107381</t>
        </is>
      </c>
      <c r="B69" s="16" t="inlineStr">
        <is>
          <t>FAB-MAO</t>
        </is>
      </c>
      <c r="C69" s="16" t="inlineStr">
        <is>
          <t>FABRICA</t>
        </is>
      </c>
      <c r="D69" s="16" t="inlineStr">
        <is>
          <t>MATERIA_PRIMA</t>
        </is>
      </c>
      <c r="E69" s="16" t="inlineStr">
        <is>
          <t>DIAMANTES</t>
        </is>
      </c>
      <c r="F69" s="16" t="inlineStr">
        <is>
          <t>MP-DIA-00980</t>
        </is>
      </c>
      <c r="G69" s="16" t="n">
        <v>5.08</v>
      </c>
      <c r="H69" s="16" t="n">
        <v>3853.41</v>
      </c>
      <c r="I69" s="16" t="n">
        <v>19575.32</v>
      </c>
      <c r="J69" s="16" t="n">
        <v>309060270.74</v>
      </c>
      <c r="K69" s="16" t="n">
        <v>5.08</v>
      </c>
      <c r="L69" s="16" t="n">
        <v>3853.41</v>
      </c>
      <c r="M69" s="16" t="n">
        <v>19575.32</v>
      </c>
      <c r="N69" s="16" t="n">
        <v>0</v>
      </c>
      <c r="O69" s="16" t="n">
        <v>0</v>
      </c>
      <c r="P69" s="16" t="b">
        <v>0</v>
      </c>
    </row>
    <row r="70">
      <c r="A70" s="16" t="inlineStr">
        <is>
          <t>SIM-EST-0109367</t>
        </is>
      </c>
      <c r="B70" s="16" t="inlineStr">
        <is>
          <t>CD03</t>
        </is>
      </c>
      <c r="C70" s="16" t="inlineStr">
        <is>
          <t>CENTRO_DISTRIBUICAO</t>
        </is>
      </c>
      <c r="D70" s="16" t="inlineStr">
        <is>
          <t>PRODUTO_ACABADO</t>
        </is>
      </c>
      <c r="E70" s="16" t="inlineStr">
        <is>
          <t>RELOGIOS</t>
        </is>
      </c>
      <c r="F70" s="16" t="inlineStr">
        <is>
          <t>REL-00688</t>
        </is>
      </c>
      <c r="G70" s="16" t="n">
        <v>77</v>
      </c>
      <c r="H70" s="16" t="n">
        <v>555.6</v>
      </c>
      <c r="I70" s="16" t="n">
        <v>42781.2</v>
      </c>
      <c r="J70" s="16" t="n">
        <v>313925260.09</v>
      </c>
      <c r="K70" s="16" t="n">
        <v>77</v>
      </c>
      <c r="L70" s="16" t="n">
        <v>555.6</v>
      </c>
      <c r="M70" s="16" t="n">
        <v>42781.2</v>
      </c>
      <c r="N70" s="16" t="n">
        <v>0</v>
      </c>
      <c r="O70" s="16" t="n">
        <v>0</v>
      </c>
      <c r="P70" s="16" t="b">
        <v>0</v>
      </c>
    </row>
    <row r="71">
      <c r="A71" s="16" t="inlineStr">
        <is>
          <t>SIM-EST-0111262</t>
        </is>
      </c>
      <c r="B71" s="16" t="inlineStr">
        <is>
          <t>LJV128</t>
        </is>
      </c>
      <c r="C71" s="16" t="inlineStr">
        <is>
          <t>LOJA_VIVARA</t>
        </is>
      </c>
      <c r="D71" s="16" t="inlineStr">
        <is>
          <t>PRODUTO_ACABADO</t>
        </is>
      </c>
      <c r="E71" s="16" t="inlineStr">
        <is>
          <t>JOIAS</t>
        </is>
      </c>
      <c r="F71" s="16" t="inlineStr">
        <is>
          <t>JOI-09629</t>
        </is>
      </c>
      <c r="G71" s="16" t="n">
        <v>3</v>
      </c>
      <c r="H71" s="16" t="n">
        <v>1094.57</v>
      </c>
      <c r="I71" s="16" t="n">
        <v>3283.71</v>
      </c>
      <c r="J71" s="16" t="n">
        <v>318790249.43</v>
      </c>
      <c r="K71" s="16" t="n">
        <v>3</v>
      </c>
      <c r="L71" s="16" t="n">
        <v>1094.57</v>
      </c>
      <c r="M71" s="16" t="n">
        <v>3283.71</v>
      </c>
      <c r="N71" s="16" t="n">
        <v>0</v>
      </c>
      <c r="O71" s="16" t="n">
        <v>0</v>
      </c>
      <c r="P71" s="16" t="b">
        <v>0</v>
      </c>
    </row>
    <row r="72">
      <c r="A72" s="16" t="inlineStr">
        <is>
          <t>SIM-EST-0113172</t>
        </is>
      </c>
      <c r="B72" s="16" t="inlineStr">
        <is>
          <t>FIL-SP</t>
        </is>
      </c>
      <c r="C72" s="16" t="inlineStr">
        <is>
          <t>FILIAL_COMPRAS</t>
        </is>
      </c>
      <c r="D72" s="16" t="inlineStr">
        <is>
          <t>MATERIA_PRIMA</t>
        </is>
      </c>
      <c r="E72" s="16" t="inlineStr">
        <is>
          <t>DIAMANTES</t>
        </is>
      </c>
      <c r="F72" s="16" t="inlineStr">
        <is>
          <t>MP-DIA-01541</t>
        </is>
      </c>
      <c r="G72" s="16" t="n">
        <v>49.85</v>
      </c>
      <c r="H72" s="16" t="n">
        <v>1922.07</v>
      </c>
      <c r="I72" s="16" t="n">
        <v>95815.19</v>
      </c>
      <c r="J72" s="16" t="n">
        <v>323655238.78</v>
      </c>
      <c r="K72" s="16" t="n">
        <v>0</v>
      </c>
      <c r="L72" s="16" t="n">
        <v>1922.07</v>
      </c>
      <c r="M72" s="16" t="n">
        <v>0</v>
      </c>
      <c r="N72" s="16" t="n">
        <v>95815.19</v>
      </c>
      <c r="O72" s="16" t="n">
        <v>1</v>
      </c>
      <c r="P72" s="16" t="b">
        <v>1</v>
      </c>
    </row>
    <row r="73">
      <c r="A73" s="16" t="inlineStr">
        <is>
          <t>SIM-EST-0114638</t>
        </is>
      </c>
      <c r="B73" s="16" t="inlineStr">
        <is>
          <t>CD03</t>
        </is>
      </c>
      <c r="C73" s="16" t="inlineStr">
        <is>
          <t>CENTRO_DISTRIBUICAO</t>
        </is>
      </c>
      <c r="D73" s="16" t="inlineStr">
        <is>
          <t>PRODUTO_ACABADO</t>
        </is>
      </c>
      <c r="E73" s="16" t="inlineStr">
        <is>
          <t>JOIAS</t>
        </is>
      </c>
      <c r="F73" s="16" t="inlineStr">
        <is>
          <t>JOI-11283</t>
        </is>
      </c>
      <c r="G73" s="16" t="n">
        <v>173</v>
      </c>
      <c r="H73" s="16" t="n">
        <v>4323.78</v>
      </c>
      <c r="I73" s="16" t="n">
        <v>748013.9399999999</v>
      </c>
      <c r="J73" s="16" t="n">
        <v>328520228.12</v>
      </c>
      <c r="K73" s="16" t="n">
        <v>173</v>
      </c>
      <c r="L73" s="16" t="n">
        <v>4323.78</v>
      </c>
      <c r="M73" s="16" t="n">
        <v>748013.9399999999</v>
      </c>
      <c r="N73" s="16" t="n">
        <v>0</v>
      </c>
      <c r="O73" s="16" t="n">
        <v>0</v>
      </c>
      <c r="P73" s="16" t="b">
        <v>0</v>
      </c>
    </row>
    <row r="74">
      <c r="A74" s="16" t="inlineStr">
        <is>
          <t>SIM-EST-0116125</t>
        </is>
      </c>
      <c r="B74" s="16" t="inlineStr">
        <is>
          <t>LJV143</t>
        </is>
      </c>
      <c r="C74" s="16" t="inlineStr">
        <is>
          <t>LOJA_VIVARA</t>
        </is>
      </c>
      <c r="D74" s="16" t="inlineStr">
        <is>
          <t>PRODUTO_ACABADO</t>
        </is>
      </c>
      <c r="E74" s="16" t="inlineStr">
        <is>
          <t>RELOGIOS</t>
        </is>
      </c>
      <c r="F74" s="16" t="inlineStr">
        <is>
          <t>REL-02133</t>
        </is>
      </c>
      <c r="G74" s="16" t="n">
        <v>2</v>
      </c>
      <c r="H74" s="16" t="n">
        <v>445.08</v>
      </c>
      <c r="I74" s="16" t="n">
        <v>890.16</v>
      </c>
      <c r="J74" s="16" t="n">
        <v>333385217.46</v>
      </c>
      <c r="K74" s="16" t="n">
        <v>2</v>
      </c>
      <c r="L74" s="16" t="n">
        <v>445.08</v>
      </c>
      <c r="M74" s="16" t="n">
        <v>890.16</v>
      </c>
      <c r="N74" s="16" t="n">
        <v>0</v>
      </c>
      <c r="O74" s="16" t="n">
        <v>0</v>
      </c>
      <c r="P74" s="16" t="b">
        <v>0</v>
      </c>
    </row>
    <row r="75">
      <c r="A75" s="16" t="inlineStr">
        <is>
          <t>SIM-EST-0117901</t>
        </is>
      </c>
      <c r="B75" s="16" t="inlineStr">
        <is>
          <t>CD02</t>
        </is>
      </c>
      <c r="C75" s="16" t="inlineStr">
        <is>
          <t>CENTRO_DISTRIBUICAO</t>
        </is>
      </c>
      <c r="D75" s="16" t="inlineStr">
        <is>
          <t>PRODUTO_ACABADO</t>
        </is>
      </c>
      <c r="E75" s="16" t="inlineStr">
        <is>
          <t>JOIAS</t>
        </is>
      </c>
      <c r="F75" s="16" t="inlineStr">
        <is>
          <t>JOI-11358</t>
        </is>
      </c>
      <c r="G75" s="16" t="n">
        <v>39</v>
      </c>
      <c r="H75" s="16" t="n">
        <v>1561.69</v>
      </c>
      <c r="I75" s="16" t="n">
        <v>60905.91</v>
      </c>
      <c r="J75" s="16" t="n">
        <v>338250206.81</v>
      </c>
      <c r="K75" s="16" t="n">
        <v>39</v>
      </c>
      <c r="L75" s="16" t="n">
        <v>1561.69</v>
      </c>
      <c r="M75" s="16" t="n">
        <v>60905.91</v>
      </c>
      <c r="N75" s="16" t="n">
        <v>0</v>
      </c>
      <c r="O75" s="16" t="n">
        <v>0</v>
      </c>
      <c r="P75" s="16" t="b">
        <v>0</v>
      </c>
    </row>
    <row r="76">
      <c r="A76" s="16" t="inlineStr">
        <is>
          <t>SIM-EST-0119410</t>
        </is>
      </c>
      <c r="B76" s="16" t="inlineStr">
        <is>
          <t>CD02</t>
        </is>
      </c>
      <c r="C76" s="16" t="inlineStr">
        <is>
          <t>CENTRO_DISTRIBUICAO</t>
        </is>
      </c>
      <c r="D76" s="16" t="inlineStr">
        <is>
          <t>PRODUTO_ACABADO</t>
        </is>
      </c>
      <c r="E76" s="16" t="inlineStr">
        <is>
          <t>JOIAS</t>
        </is>
      </c>
      <c r="F76" s="16" t="inlineStr">
        <is>
          <t>JOI-09081</t>
        </is>
      </c>
      <c r="G76" s="16" t="n">
        <v>46</v>
      </c>
      <c r="H76" s="16" t="n">
        <v>3651.23</v>
      </c>
      <c r="I76" s="16" t="n">
        <v>167956.58</v>
      </c>
      <c r="J76" s="16" t="n">
        <v>343115196.15</v>
      </c>
      <c r="K76" s="16" t="n">
        <v>46</v>
      </c>
      <c r="L76" s="16" t="n">
        <v>3651.23</v>
      </c>
      <c r="M76" s="16" t="n">
        <v>167956.58</v>
      </c>
      <c r="N76" s="16" t="n">
        <v>0</v>
      </c>
      <c r="O76" s="16" t="n">
        <v>0</v>
      </c>
      <c r="P76" s="16" t="b">
        <v>0</v>
      </c>
    </row>
    <row r="77">
      <c r="A77" s="16" t="inlineStr">
        <is>
          <t>SIM-EST-0121226</t>
        </is>
      </c>
      <c r="B77" s="16" t="inlineStr">
        <is>
          <t>FAB-MAO</t>
        </is>
      </c>
      <c r="C77" s="16" t="inlineStr">
        <is>
          <t>FABRICA</t>
        </is>
      </c>
      <c r="D77" s="16" t="inlineStr">
        <is>
          <t>MATERIA_PRIMA</t>
        </is>
      </c>
      <c r="E77" s="16" t="inlineStr">
        <is>
          <t>DIAMANTES</t>
        </is>
      </c>
      <c r="F77" s="16" t="inlineStr">
        <is>
          <t>MP-DIA-01957</t>
        </is>
      </c>
      <c r="G77" s="16" t="n">
        <v>5.3</v>
      </c>
      <c r="H77" s="16" t="n">
        <v>2110.64</v>
      </c>
      <c r="I77" s="16" t="n">
        <v>11186.39</v>
      </c>
      <c r="J77" s="16" t="n">
        <v>347980185.5</v>
      </c>
      <c r="K77" s="16" t="n">
        <v>5.3</v>
      </c>
      <c r="L77" s="16" t="n">
        <v>2110.64</v>
      </c>
      <c r="M77" s="16" t="n">
        <v>11186.39</v>
      </c>
      <c r="N77" s="16" t="n">
        <v>0</v>
      </c>
      <c r="O77" s="16" t="n">
        <v>0</v>
      </c>
      <c r="P77" s="16" t="b">
        <v>0</v>
      </c>
    </row>
    <row r="78">
      <c r="A78" s="16" t="inlineStr">
        <is>
          <t>SIM-EST-0123448</t>
        </is>
      </c>
      <c r="B78" s="16" t="inlineStr">
        <is>
          <t>LJV126</t>
        </is>
      </c>
      <c r="C78" s="16" t="inlineStr">
        <is>
          <t>LOJA_VIVARA</t>
        </is>
      </c>
      <c r="D78" s="16" t="inlineStr">
        <is>
          <t>PRODUTO_ACABADO</t>
        </is>
      </c>
      <c r="E78" s="16" t="inlineStr">
        <is>
          <t>JOIAS</t>
        </is>
      </c>
      <c r="F78" s="16" t="inlineStr">
        <is>
          <t>JOI-00956</t>
        </is>
      </c>
      <c r="G78" s="16" t="n">
        <v>4</v>
      </c>
      <c r="H78" s="16" t="n">
        <v>1510.43</v>
      </c>
      <c r="I78" s="16" t="n">
        <v>6041.72</v>
      </c>
      <c r="J78" s="16" t="n">
        <v>352845174.84</v>
      </c>
      <c r="K78" s="16" t="n">
        <v>4</v>
      </c>
      <c r="L78" s="16" t="n">
        <v>1510.43</v>
      </c>
      <c r="M78" s="16" t="n">
        <v>6041.72</v>
      </c>
      <c r="N78" s="16" t="n">
        <v>0</v>
      </c>
      <c r="O78" s="16" t="n">
        <v>0</v>
      </c>
      <c r="P78" s="16" t="b">
        <v>0</v>
      </c>
    </row>
    <row r="79">
      <c r="A79" s="16" t="inlineStr">
        <is>
          <t>SIM-EST-0125154</t>
        </is>
      </c>
      <c r="B79" s="16" t="inlineStr">
        <is>
          <t>CD03</t>
        </is>
      </c>
      <c r="C79" s="16" t="inlineStr">
        <is>
          <t>CENTRO_DISTRIBUICAO</t>
        </is>
      </c>
      <c r="D79" s="16" t="inlineStr">
        <is>
          <t>PRODUTO_ACABADO</t>
        </is>
      </c>
      <c r="E79" s="16" t="inlineStr">
        <is>
          <t>JOIAS</t>
        </is>
      </c>
      <c r="F79" s="16" t="inlineStr">
        <is>
          <t>JOI-06846</t>
        </is>
      </c>
      <c r="G79" s="16" t="n">
        <v>67</v>
      </c>
      <c r="H79" s="16" t="n">
        <v>548.75</v>
      </c>
      <c r="I79" s="16" t="n">
        <v>36766.25</v>
      </c>
      <c r="J79" s="16" t="n">
        <v>357710164.19</v>
      </c>
      <c r="K79" s="16" t="n">
        <v>67</v>
      </c>
      <c r="L79" s="16" t="n">
        <v>548.75</v>
      </c>
      <c r="M79" s="16" t="n">
        <v>36766.25</v>
      </c>
      <c r="N79" s="16" t="n">
        <v>0</v>
      </c>
      <c r="O79" s="16" t="n">
        <v>0</v>
      </c>
      <c r="P79" s="16" t="b">
        <v>0</v>
      </c>
    </row>
    <row r="80">
      <c r="A80" s="16" t="inlineStr">
        <is>
          <t>SIM-EST-0127047</t>
        </is>
      </c>
      <c r="B80" s="16" t="inlineStr">
        <is>
          <t>LJV262</t>
        </is>
      </c>
      <c r="C80" s="16" t="inlineStr">
        <is>
          <t>LOJA_VIVARA</t>
        </is>
      </c>
      <c r="D80" s="16" t="inlineStr">
        <is>
          <t>PRODUTO_ACABADO</t>
        </is>
      </c>
      <c r="E80" s="16" t="inlineStr">
        <is>
          <t>JOIAS</t>
        </is>
      </c>
      <c r="F80" s="16" t="inlineStr">
        <is>
          <t>JOI-05455</t>
        </is>
      </c>
      <c r="G80" s="16" t="n">
        <v>4</v>
      </c>
      <c r="H80" s="16" t="n">
        <v>1101.69</v>
      </c>
      <c r="I80" s="16" t="n">
        <v>4406.76</v>
      </c>
      <c r="J80" s="16" t="n">
        <v>362575153.53</v>
      </c>
      <c r="K80" s="16" t="n">
        <v>4</v>
      </c>
      <c r="L80" s="16" t="n">
        <v>1101.69</v>
      </c>
      <c r="M80" s="16" t="n">
        <v>4406.76</v>
      </c>
      <c r="N80" s="16" t="n">
        <v>0</v>
      </c>
      <c r="O80" s="16" t="n">
        <v>0</v>
      </c>
      <c r="P80" s="16" t="b">
        <v>0</v>
      </c>
    </row>
    <row r="81">
      <c r="A81" s="16" t="inlineStr">
        <is>
          <t>SIM-EST-0128424</t>
        </is>
      </c>
      <c r="B81" s="16" t="inlineStr">
        <is>
          <t>FAB-MAO</t>
        </is>
      </c>
      <c r="C81" s="16" t="inlineStr">
        <is>
          <t>FABRICA</t>
        </is>
      </c>
      <c r="D81" s="16" t="inlineStr">
        <is>
          <t>MATERIA_PRIMA</t>
        </is>
      </c>
      <c r="E81" s="16" t="inlineStr">
        <is>
          <t>OURO</t>
        </is>
      </c>
      <c r="F81" s="16" t="inlineStr">
        <is>
          <t>MP-OUR-00598</t>
        </is>
      </c>
      <c r="G81" s="16" t="n">
        <v>5732.25</v>
      </c>
      <c r="H81" s="16" t="n">
        <v>359.4</v>
      </c>
      <c r="I81" s="16" t="n">
        <v>2060170.65</v>
      </c>
      <c r="J81" s="16" t="n">
        <v>367440142.88</v>
      </c>
      <c r="K81" s="16" t="n">
        <v>5732.25</v>
      </c>
      <c r="L81" s="16" t="n">
        <v>359.4</v>
      </c>
      <c r="M81" s="16" t="n">
        <v>2060170.65</v>
      </c>
      <c r="N81" s="16" t="n">
        <v>0</v>
      </c>
      <c r="O81" s="16" t="n">
        <v>0</v>
      </c>
      <c r="P81" s="16" t="b">
        <v>0</v>
      </c>
    </row>
    <row r="82">
      <c r="A82" s="16" t="inlineStr">
        <is>
          <t>SIM-EST-0129440</t>
        </is>
      </c>
      <c r="B82" s="16" t="inlineStr">
        <is>
          <t>FAB-MAO</t>
        </is>
      </c>
      <c r="C82" s="16" t="inlineStr">
        <is>
          <t>FABRICA</t>
        </is>
      </c>
      <c r="D82" s="16" t="inlineStr">
        <is>
          <t>MATERIA_PRIMA</t>
        </is>
      </c>
      <c r="E82" s="16" t="inlineStr">
        <is>
          <t>OURO</t>
        </is>
      </c>
      <c r="F82" s="16" t="inlineStr">
        <is>
          <t>MP-OUR-00314</t>
        </is>
      </c>
      <c r="G82" s="16" t="n">
        <v>1052.06</v>
      </c>
      <c r="H82" s="16" t="n">
        <v>343.79</v>
      </c>
      <c r="I82" s="16" t="n">
        <v>361687.71</v>
      </c>
      <c r="J82" s="16" t="n">
        <v>372305132.22</v>
      </c>
      <c r="K82" s="16" t="n">
        <v>1052.06</v>
      </c>
      <c r="L82" s="16" t="n">
        <v>343.79</v>
      </c>
      <c r="M82" s="16" t="n">
        <v>361687.71</v>
      </c>
      <c r="N82" s="16" t="n">
        <v>0</v>
      </c>
      <c r="O82" s="16" t="n">
        <v>0</v>
      </c>
      <c r="P82" s="16" t="b">
        <v>0</v>
      </c>
    </row>
    <row r="83">
      <c r="A83" s="16" t="inlineStr">
        <is>
          <t>SIM-EST-0130960</t>
        </is>
      </c>
      <c r="B83" s="16" t="inlineStr">
        <is>
          <t>FAB-MAO</t>
        </is>
      </c>
      <c r="C83" s="16" t="inlineStr">
        <is>
          <t>FABRICA</t>
        </is>
      </c>
      <c r="D83" s="16" t="inlineStr">
        <is>
          <t>MATERIA_PRIMA</t>
        </is>
      </c>
      <c r="E83" s="16" t="inlineStr">
        <is>
          <t>PRATA</t>
        </is>
      </c>
      <c r="F83" s="16" t="inlineStr">
        <is>
          <t>MP-PRA-00758</t>
        </is>
      </c>
      <c r="G83" s="16" t="n">
        <v>44443.02</v>
      </c>
      <c r="H83" s="16" t="n">
        <v>5.07</v>
      </c>
      <c r="I83" s="16" t="n">
        <v>225326.11</v>
      </c>
      <c r="J83" s="16" t="n">
        <v>377170121.57</v>
      </c>
      <c r="K83" s="16" t="n">
        <v>44443.02</v>
      </c>
      <c r="L83" s="16" t="n">
        <v>5.07</v>
      </c>
      <c r="M83" s="16" t="n">
        <v>225326.11</v>
      </c>
      <c r="N83" s="16" t="n">
        <v>0</v>
      </c>
      <c r="O83" s="16" t="n">
        <v>0</v>
      </c>
      <c r="P83" s="16" t="b">
        <v>0</v>
      </c>
    </row>
    <row r="84">
      <c r="A84" s="16" t="inlineStr">
        <is>
          <t>SIM-EST-0132841</t>
        </is>
      </c>
      <c r="B84" s="16" t="inlineStr">
        <is>
          <t>LJV225</t>
        </is>
      </c>
      <c r="C84" s="16" t="inlineStr">
        <is>
          <t>LOJA_VIVARA</t>
        </is>
      </c>
      <c r="D84" s="16" t="inlineStr">
        <is>
          <t>PRODUTO_ACABADO</t>
        </is>
      </c>
      <c r="E84" s="16" t="inlineStr">
        <is>
          <t>JOIAS</t>
        </is>
      </c>
      <c r="F84" s="16" t="inlineStr">
        <is>
          <t>JOI-02505</t>
        </is>
      </c>
      <c r="G84" s="16" t="n">
        <v>4</v>
      </c>
      <c r="H84" s="16" t="n">
        <v>23080.55</v>
      </c>
      <c r="I84" s="16" t="n">
        <v>92322.2</v>
      </c>
      <c r="J84" s="16" t="n">
        <v>382035110.91</v>
      </c>
      <c r="K84" s="16" t="n">
        <v>4</v>
      </c>
      <c r="L84" s="16" t="n">
        <v>23080.55</v>
      </c>
      <c r="M84" s="16" t="n">
        <v>92322.2</v>
      </c>
      <c r="N84" s="16" t="n">
        <v>0</v>
      </c>
      <c r="O84" s="16" t="n">
        <v>0</v>
      </c>
      <c r="P84" s="16" t="b">
        <v>0</v>
      </c>
    </row>
    <row r="85">
      <c r="A85" s="16" t="inlineStr">
        <is>
          <t>SIM-EST-0134332</t>
        </is>
      </c>
      <c r="B85" s="16" t="inlineStr">
        <is>
          <t>LJV101</t>
        </is>
      </c>
      <c r="C85" s="16" t="inlineStr">
        <is>
          <t>LOJA_VIVARA</t>
        </is>
      </c>
      <c r="D85" s="16" t="inlineStr">
        <is>
          <t>PRODUTO_ACABADO</t>
        </is>
      </c>
      <c r="E85" s="16" t="inlineStr">
        <is>
          <t>JOIAS</t>
        </is>
      </c>
      <c r="F85" s="16" t="inlineStr">
        <is>
          <t>JOI-11964</t>
        </is>
      </c>
      <c r="G85" s="16" t="n">
        <v>2</v>
      </c>
      <c r="H85" s="16" t="n">
        <v>1211.81</v>
      </c>
      <c r="I85" s="16" t="n">
        <v>2423.62</v>
      </c>
      <c r="J85" s="16" t="n">
        <v>386900100.26</v>
      </c>
      <c r="K85" s="16" t="n">
        <v>2</v>
      </c>
      <c r="L85" s="16" t="n">
        <v>1211.81</v>
      </c>
      <c r="M85" s="16" t="n">
        <v>2423.62</v>
      </c>
      <c r="N85" s="16" t="n">
        <v>0</v>
      </c>
      <c r="O85" s="16" t="n">
        <v>0</v>
      </c>
      <c r="P85" s="16" t="b">
        <v>0</v>
      </c>
    </row>
    <row r="86">
      <c r="A86" s="16" t="inlineStr">
        <is>
          <t>SIM-EST-0136469</t>
        </is>
      </c>
      <c r="B86" s="16" t="inlineStr">
        <is>
          <t>FAB-MAO</t>
        </is>
      </c>
      <c r="C86" s="16" t="inlineStr">
        <is>
          <t>FABRICA</t>
        </is>
      </c>
      <c r="D86" s="16" t="inlineStr">
        <is>
          <t>PRODUTO_ACABADO</t>
        </is>
      </c>
      <c r="E86" s="16" t="inlineStr">
        <is>
          <t>JOIAS</t>
        </is>
      </c>
      <c r="F86" s="16" t="inlineStr">
        <is>
          <t>JOI-05325</t>
        </is>
      </c>
      <c r="G86" s="16" t="n">
        <v>78</v>
      </c>
      <c r="H86" s="16" t="n">
        <v>826.41</v>
      </c>
      <c r="I86" s="16" t="n">
        <v>64459.98</v>
      </c>
      <c r="J86" s="16" t="n">
        <v>391765089.6</v>
      </c>
      <c r="K86" s="16" t="n">
        <v>78</v>
      </c>
      <c r="L86" s="16" t="n">
        <v>826.41</v>
      </c>
      <c r="M86" s="16" t="n">
        <v>64459.98</v>
      </c>
      <c r="N86" s="16" t="n">
        <v>0</v>
      </c>
      <c r="O86" s="16" t="n">
        <v>0</v>
      </c>
      <c r="P86" s="16" t="b">
        <v>0</v>
      </c>
    </row>
    <row r="87">
      <c r="A87" s="16" t="inlineStr">
        <is>
          <t>SIM-EST-0138391</t>
        </is>
      </c>
      <c r="B87" s="16" t="inlineStr">
        <is>
          <t>CD02</t>
        </is>
      </c>
      <c r="C87" s="16" t="inlineStr">
        <is>
          <t>CENTRO_DISTRIBUICAO</t>
        </is>
      </c>
      <c r="D87" s="16" t="inlineStr">
        <is>
          <t>PRODUTO_ACABADO</t>
        </is>
      </c>
      <c r="E87" s="16" t="inlineStr">
        <is>
          <t>JOIAS</t>
        </is>
      </c>
      <c r="F87" s="16" t="inlineStr">
        <is>
          <t>JOI-09922</t>
        </is>
      </c>
      <c r="G87" s="16" t="n">
        <v>11</v>
      </c>
      <c r="H87" s="16" t="n">
        <v>1022.67</v>
      </c>
      <c r="I87" s="16" t="n">
        <v>11249.37</v>
      </c>
      <c r="J87" s="16" t="n">
        <v>396630078.95</v>
      </c>
      <c r="K87" s="16" t="n">
        <v>11</v>
      </c>
      <c r="L87" s="16" t="n">
        <v>1022.67</v>
      </c>
      <c r="M87" s="16" t="n">
        <v>11249.37</v>
      </c>
      <c r="N87" s="16" t="n">
        <v>0</v>
      </c>
      <c r="O87" s="16" t="n">
        <v>0</v>
      </c>
      <c r="P87" s="16" t="b">
        <v>0</v>
      </c>
    </row>
    <row r="88">
      <c r="A88" s="16" t="inlineStr">
        <is>
          <t>SIM-EST-0139999</t>
        </is>
      </c>
      <c r="B88" s="16" t="inlineStr">
        <is>
          <t>PAN001</t>
        </is>
      </c>
      <c r="C88" s="16" t="inlineStr">
        <is>
          <t>LOJA_PANAMA</t>
        </is>
      </c>
      <c r="D88" s="16" t="inlineStr">
        <is>
          <t>PRODUTO_ACABADO</t>
        </is>
      </c>
      <c r="E88" s="16" t="inlineStr">
        <is>
          <t>JOIAS</t>
        </is>
      </c>
      <c r="F88" s="16" t="inlineStr">
        <is>
          <t>JOI-05847</t>
        </is>
      </c>
      <c r="G88" s="16" t="n">
        <v>4</v>
      </c>
      <c r="H88" s="16" t="n">
        <v>7356.79</v>
      </c>
      <c r="I88" s="16" t="n">
        <v>29427.16</v>
      </c>
      <c r="J88" s="16" t="n">
        <v>401495068.29</v>
      </c>
      <c r="K88" s="16" t="n">
        <v>4</v>
      </c>
      <c r="L88" s="16" t="n">
        <v>7356.79</v>
      </c>
      <c r="M88" s="16" t="n">
        <v>29427.16</v>
      </c>
      <c r="N88" s="16" t="n">
        <v>0</v>
      </c>
      <c r="O88" s="16" t="n">
        <v>0</v>
      </c>
      <c r="P88" s="16" t="b">
        <v>0</v>
      </c>
    </row>
    <row r="89">
      <c r="A89" s="16" t="inlineStr">
        <is>
          <t>SIM-EST-0141524</t>
        </is>
      </c>
      <c r="B89" s="16" t="inlineStr">
        <is>
          <t>FIL-SP</t>
        </is>
      </c>
      <c r="C89" s="16" t="inlineStr">
        <is>
          <t>FILIAL_COMPRAS</t>
        </is>
      </c>
      <c r="D89" s="16" t="inlineStr">
        <is>
          <t>MATERIA_PRIMA</t>
        </is>
      </c>
      <c r="E89" s="16" t="inlineStr">
        <is>
          <t>PEDRAS_CORADAS</t>
        </is>
      </c>
      <c r="F89" s="16" t="inlineStr">
        <is>
          <t>MP-PED-00420</t>
        </is>
      </c>
      <c r="G89" s="16" t="n">
        <v>52.8</v>
      </c>
      <c r="H89" s="16" t="n">
        <v>321.12</v>
      </c>
      <c r="I89" s="16" t="n">
        <v>16955.14</v>
      </c>
      <c r="J89" s="16" t="n">
        <v>406360057.63</v>
      </c>
      <c r="K89" s="16" t="n">
        <v>52.8</v>
      </c>
      <c r="L89" s="16" t="n">
        <v>321.12</v>
      </c>
      <c r="M89" s="16" t="n">
        <v>16955.14</v>
      </c>
      <c r="N89" s="16" t="n">
        <v>0</v>
      </c>
      <c r="O89" s="16" t="n">
        <v>0</v>
      </c>
      <c r="P89" s="16" t="b">
        <v>0</v>
      </c>
    </row>
    <row r="90">
      <c r="A90" s="16" t="inlineStr">
        <is>
          <t>SIM-EST-0142757</t>
        </is>
      </c>
      <c r="B90" s="16" t="inlineStr">
        <is>
          <t>LJV164</t>
        </is>
      </c>
      <c r="C90" s="16" t="inlineStr">
        <is>
          <t>LOJA_VIVARA</t>
        </is>
      </c>
      <c r="D90" s="16" t="inlineStr">
        <is>
          <t>PRODUTO_ACABADO</t>
        </is>
      </c>
      <c r="E90" s="16" t="inlineStr">
        <is>
          <t>JOIAS</t>
        </is>
      </c>
      <c r="F90" s="16" t="inlineStr">
        <is>
          <t>JOI-02461</t>
        </is>
      </c>
      <c r="G90" s="16" t="n">
        <v>3</v>
      </c>
      <c r="H90" s="16" t="n">
        <v>4455.9</v>
      </c>
      <c r="I90" s="16" t="n">
        <v>13367.7</v>
      </c>
      <c r="J90" s="16" t="n">
        <v>411225046.98</v>
      </c>
      <c r="K90" s="16" t="n">
        <v>3</v>
      </c>
      <c r="L90" s="16" t="n">
        <v>4455.9</v>
      </c>
      <c r="M90" s="16" t="n">
        <v>13367.7</v>
      </c>
      <c r="N90" s="16" t="n">
        <v>0</v>
      </c>
      <c r="O90" s="16" t="n">
        <v>0</v>
      </c>
      <c r="P90" s="16" t="b">
        <v>0</v>
      </c>
    </row>
    <row r="91">
      <c r="A91" s="16" t="inlineStr">
        <is>
          <t>SIM-EST-0144765</t>
        </is>
      </c>
      <c r="B91" s="16" t="inlineStr">
        <is>
          <t>LJV121</t>
        </is>
      </c>
      <c r="C91" s="16" t="inlineStr">
        <is>
          <t>LOJA_VIVARA</t>
        </is>
      </c>
      <c r="D91" s="16" t="inlineStr">
        <is>
          <t>MAT_CONSUMO_EMBALAGEM</t>
        </is>
      </c>
      <c r="E91" s="16" t="inlineStr">
        <is>
          <t>EMBALAGEM</t>
        </is>
      </c>
      <c r="F91" s="16" t="inlineStr">
        <is>
          <t>EMB-00134</t>
        </is>
      </c>
      <c r="G91" s="16" t="n">
        <v>563</v>
      </c>
      <c r="H91" s="16" t="n">
        <v>38.26</v>
      </c>
      <c r="I91" s="16" t="n">
        <v>21540.38</v>
      </c>
      <c r="J91" s="16" t="n">
        <v>416090036.32</v>
      </c>
      <c r="K91" s="16" t="n">
        <v>563</v>
      </c>
      <c r="L91" s="16" t="n">
        <v>38.26</v>
      </c>
      <c r="M91" s="16" t="n">
        <v>21540.38</v>
      </c>
      <c r="N91" s="16" t="n">
        <v>0</v>
      </c>
      <c r="O91" s="16" t="n">
        <v>0</v>
      </c>
      <c r="P91" s="16" t="b">
        <v>0</v>
      </c>
    </row>
    <row r="92">
      <c r="A92" s="16" t="inlineStr">
        <is>
          <t>SIM-EST-0146372</t>
        </is>
      </c>
      <c r="B92" s="16" t="inlineStr">
        <is>
          <t>LJV255</t>
        </is>
      </c>
      <c r="C92" s="16" t="inlineStr">
        <is>
          <t>LOJA_VIVARA</t>
        </is>
      </c>
      <c r="D92" s="16" t="inlineStr">
        <is>
          <t>PRODUTO_ACABADO</t>
        </is>
      </c>
      <c r="E92" s="16" t="inlineStr">
        <is>
          <t>JOIAS</t>
        </is>
      </c>
      <c r="F92" s="16" t="inlineStr">
        <is>
          <t>JOI-11397</t>
        </is>
      </c>
      <c r="G92" s="16" t="n">
        <v>4</v>
      </c>
      <c r="H92" s="16" t="n">
        <v>439.11</v>
      </c>
      <c r="I92" s="16" t="n">
        <v>1756.44</v>
      </c>
      <c r="J92" s="16" t="n">
        <v>420955025.67</v>
      </c>
      <c r="K92" s="16" t="n">
        <v>4</v>
      </c>
      <c r="L92" s="16" t="n">
        <v>439.11</v>
      </c>
      <c r="M92" s="16" t="n">
        <v>1756.44</v>
      </c>
      <c r="N92" s="16" t="n">
        <v>0</v>
      </c>
      <c r="O92" s="16" t="n">
        <v>0</v>
      </c>
      <c r="P92" s="16" t="b">
        <v>0</v>
      </c>
    </row>
    <row r="93">
      <c r="A93" s="16" t="inlineStr">
        <is>
          <t>SIM-EST-0148201</t>
        </is>
      </c>
      <c r="B93" s="16" t="inlineStr">
        <is>
          <t>CD01</t>
        </is>
      </c>
      <c r="C93" s="16" t="inlineStr">
        <is>
          <t>CENTRO_DISTRIBUICAO</t>
        </is>
      </c>
      <c r="D93" s="16" t="inlineStr">
        <is>
          <t>PRODUTO_ACABADO</t>
        </is>
      </c>
      <c r="E93" s="16" t="inlineStr">
        <is>
          <t>JOIAS</t>
        </is>
      </c>
      <c r="F93" s="16" t="inlineStr">
        <is>
          <t>JOI-09140</t>
        </is>
      </c>
      <c r="G93" s="16" t="n">
        <v>42</v>
      </c>
      <c r="H93" s="16" t="n">
        <v>1572.58</v>
      </c>
      <c r="I93" s="16" t="n">
        <v>66048.36</v>
      </c>
      <c r="J93" s="16" t="n">
        <v>425820015.01</v>
      </c>
      <c r="K93" s="16" t="n">
        <v>42</v>
      </c>
      <c r="L93" s="16" t="n">
        <v>1572.58</v>
      </c>
      <c r="M93" s="16" t="n">
        <v>66048.36</v>
      </c>
      <c r="N93" s="16" t="n">
        <v>0</v>
      </c>
      <c r="O93" s="16" t="n">
        <v>0</v>
      </c>
      <c r="P93" s="16" t="b">
        <v>0</v>
      </c>
    </row>
    <row r="94">
      <c r="A94" s="16" t="inlineStr">
        <is>
          <t>SIM-EST-0149591</t>
        </is>
      </c>
      <c r="B94" s="16" t="inlineStr">
        <is>
          <t>LJV209</t>
        </is>
      </c>
      <c r="C94" s="16" t="inlineStr">
        <is>
          <t>LOJA_VIVARA</t>
        </is>
      </c>
      <c r="D94" s="16" t="inlineStr">
        <is>
          <t>PRODUTO_ACABADO</t>
        </is>
      </c>
      <c r="E94" s="16" t="inlineStr">
        <is>
          <t>JOIAS</t>
        </is>
      </c>
      <c r="F94" s="16" t="inlineStr">
        <is>
          <t>JOI-00905</t>
        </is>
      </c>
      <c r="G94" s="16" t="n">
        <v>5</v>
      </c>
      <c r="H94" s="16" t="n">
        <v>1642.15</v>
      </c>
      <c r="I94" s="16" t="n">
        <v>8210.75</v>
      </c>
      <c r="J94" s="16" t="n">
        <v>430685004.36</v>
      </c>
      <c r="K94" s="16" t="n">
        <v>5</v>
      </c>
      <c r="L94" s="16" t="n">
        <v>1642.15</v>
      </c>
      <c r="M94" s="16" t="n">
        <v>8210.75</v>
      </c>
      <c r="N94" s="16" t="n">
        <v>0</v>
      </c>
      <c r="O94" s="16" t="n">
        <v>0</v>
      </c>
      <c r="P94" s="16" t="b">
        <v>0</v>
      </c>
    </row>
    <row r="95">
      <c r="A95" s="16" t="inlineStr">
        <is>
          <t>SIM-EST-0151135</t>
        </is>
      </c>
      <c r="B95" s="16" t="inlineStr">
        <is>
          <t>FAB-MAO</t>
        </is>
      </c>
      <c r="C95" s="16" t="inlineStr">
        <is>
          <t>FABRICA</t>
        </is>
      </c>
      <c r="D95" s="16" t="inlineStr">
        <is>
          <t>MATERIA_PRIMA</t>
        </is>
      </c>
      <c r="E95" s="16" t="inlineStr">
        <is>
          <t>OURO</t>
        </is>
      </c>
      <c r="F95" s="16" t="inlineStr">
        <is>
          <t>MP-OUR-00684</t>
        </is>
      </c>
      <c r="G95" s="16" t="n">
        <v>646.28</v>
      </c>
      <c r="H95" s="16" t="n">
        <v>348.51</v>
      </c>
      <c r="I95" s="16" t="n">
        <v>225235.04</v>
      </c>
      <c r="J95" s="16" t="n">
        <v>435549993.7</v>
      </c>
      <c r="K95" s="16" t="n">
        <v>646.28</v>
      </c>
      <c r="L95" s="16" t="n">
        <v>348.51</v>
      </c>
      <c r="M95" s="16" t="n">
        <v>225235.04</v>
      </c>
      <c r="N95" s="16" t="n">
        <v>0</v>
      </c>
      <c r="O95" s="16" t="n">
        <v>0</v>
      </c>
      <c r="P95" s="16" t="b">
        <v>0</v>
      </c>
    </row>
    <row r="96">
      <c r="A96" s="16" t="inlineStr">
        <is>
          <t>SIM-EST-0152798</t>
        </is>
      </c>
      <c r="B96" s="16" t="inlineStr">
        <is>
          <t>LJV092</t>
        </is>
      </c>
      <c r="C96" s="16" t="inlineStr">
        <is>
          <t>LOJA_VIVARA</t>
        </is>
      </c>
      <c r="D96" s="16" t="inlineStr">
        <is>
          <t>PRODUTO_ACABADO</t>
        </is>
      </c>
      <c r="E96" s="16" t="inlineStr">
        <is>
          <t>JOIAS</t>
        </is>
      </c>
      <c r="F96" s="16" t="inlineStr">
        <is>
          <t>JOI-11921</t>
        </is>
      </c>
      <c r="G96" s="16" t="n">
        <v>2</v>
      </c>
      <c r="H96" s="16" t="n">
        <v>249.71</v>
      </c>
      <c r="I96" s="16" t="n">
        <v>499.42</v>
      </c>
      <c r="J96" s="16" t="n">
        <v>440414983.05</v>
      </c>
      <c r="K96" s="16" t="n">
        <v>2</v>
      </c>
      <c r="L96" s="16" t="n">
        <v>249.71</v>
      </c>
      <c r="M96" s="16" t="n">
        <v>499.42</v>
      </c>
      <c r="N96" s="16" t="n">
        <v>0</v>
      </c>
      <c r="O96" s="16" t="n">
        <v>0</v>
      </c>
      <c r="P96" s="16" t="b">
        <v>0</v>
      </c>
    </row>
    <row r="97">
      <c r="A97" s="16" t="inlineStr">
        <is>
          <t>SIM-EST-0154382</t>
        </is>
      </c>
      <c r="B97" s="16" t="inlineStr">
        <is>
          <t>FAB-MAO</t>
        </is>
      </c>
      <c r="C97" s="16" t="inlineStr">
        <is>
          <t>FABRICA</t>
        </is>
      </c>
      <c r="D97" s="16" t="inlineStr">
        <is>
          <t>MATERIA_PRIMA</t>
        </is>
      </c>
      <c r="E97" s="16" t="inlineStr">
        <is>
          <t>DIAMANTES</t>
        </is>
      </c>
      <c r="F97" s="16" t="inlineStr">
        <is>
          <t>MP-DIA-01087</t>
        </is>
      </c>
      <c r="G97" s="16" t="n">
        <v>3.39</v>
      </c>
      <c r="H97" s="16" t="n">
        <v>3420.47</v>
      </c>
      <c r="I97" s="16" t="n">
        <v>11595.39</v>
      </c>
      <c r="J97" s="16" t="n">
        <v>445279972.39</v>
      </c>
      <c r="K97" s="16" t="n">
        <v>3.39</v>
      </c>
      <c r="L97" s="16" t="n">
        <v>3420.47</v>
      </c>
      <c r="M97" s="16" t="n">
        <v>11595.39</v>
      </c>
      <c r="N97" s="16" t="n">
        <v>0</v>
      </c>
      <c r="O97" s="16" t="n">
        <v>0</v>
      </c>
      <c r="P97" s="16" t="b">
        <v>0</v>
      </c>
    </row>
    <row r="98">
      <c r="A98" s="16" t="inlineStr">
        <is>
          <t>SIM-EST-0156244</t>
        </is>
      </c>
      <c r="B98" s="16" t="inlineStr">
        <is>
          <t>FAB-MAO</t>
        </is>
      </c>
      <c r="C98" s="16" t="inlineStr">
        <is>
          <t>FABRICA</t>
        </is>
      </c>
      <c r="D98" s="16" t="inlineStr">
        <is>
          <t>PRODUTO_ACABADO</t>
        </is>
      </c>
      <c r="E98" s="16" t="inlineStr">
        <is>
          <t>JOIAS</t>
        </is>
      </c>
      <c r="F98" s="16" t="inlineStr">
        <is>
          <t>JOI-09914</t>
        </is>
      </c>
      <c r="G98" s="16" t="n">
        <v>74</v>
      </c>
      <c r="H98" s="16" t="n">
        <v>2693.22</v>
      </c>
      <c r="I98" s="16" t="n">
        <v>199298.28</v>
      </c>
      <c r="J98" s="16" t="n">
        <v>450144961.74</v>
      </c>
      <c r="K98" s="16" t="n">
        <v>74</v>
      </c>
      <c r="L98" s="16" t="n">
        <v>2693.22</v>
      </c>
      <c r="M98" s="16" t="n">
        <v>199298.28</v>
      </c>
      <c r="N98" s="16" t="n">
        <v>0</v>
      </c>
      <c r="O98" s="16" t="n">
        <v>0</v>
      </c>
      <c r="P98" s="16" t="b">
        <v>0</v>
      </c>
    </row>
    <row r="99">
      <c r="A99" s="16" t="inlineStr">
        <is>
          <t>SIM-EST-0158148</t>
        </is>
      </c>
      <c r="B99" s="16" t="inlineStr">
        <is>
          <t>LJV098</t>
        </is>
      </c>
      <c r="C99" s="16" t="inlineStr">
        <is>
          <t>LOJA_VIVARA</t>
        </is>
      </c>
      <c r="D99" s="16" t="inlineStr">
        <is>
          <t>PRODUTO_ACABADO</t>
        </is>
      </c>
      <c r="E99" s="16" t="inlineStr">
        <is>
          <t>JOIAS</t>
        </is>
      </c>
      <c r="F99" s="16" t="inlineStr">
        <is>
          <t>JOI-02786</t>
        </is>
      </c>
      <c r="G99" s="16" t="n">
        <v>3</v>
      </c>
      <c r="H99" s="16" t="n">
        <v>5364.93</v>
      </c>
      <c r="I99" s="16" t="n">
        <v>16094.79</v>
      </c>
      <c r="J99" s="16" t="n">
        <v>455009951.08</v>
      </c>
      <c r="K99" s="16" t="n">
        <v>3</v>
      </c>
      <c r="L99" s="16" t="n">
        <v>5364.93</v>
      </c>
      <c r="M99" s="16" t="n">
        <v>16094.79</v>
      </c>
      <c r="N99" s="16" t="n">
        <v>0</v>
      </c>
      <c r="O99" s="16" t="n">
        <v>0</v>
      </c>
      <c r="P99" s="16" t="b">
        <v>0</v>
      </c>
    </row>
    <row r="100">
      <c r="A100" s="16" t="inlineStr">
        <is>
          <t>SIM-EST-0159583</t>
        </is>
      </c>
      <c r="B100" s="16" t="inlineStr">
        <is>
          <t>LJV127</t>
        </is>
      </c>
      <c r="C100" s="16" t="inlineStr">
        <is>
          <t>LOJA_VIVARA</t>
        </is>
      </c>
      <c r="D100" s="16" t="inlineStr">
        <is>
          <t>PRODUTO_ACABADO</t>
        </is>
      </c>
      <c r="E100" s="16" t="inlineStr">
        <is>
          <t>JOIAS</t>
        </is>
      </c>
      <c r="F100" s="16" t="inlineStr">
        <is>
          <t>JOI-04696</t>
        </is>
      </c>
      <c r="G100" s="16" t="n">
        <v>2</v>
      </c>
      <c r="H100" s="16" t="n">
        <v>1043.04</v>
      </c>
      <c r="I100" s="16" t="n">
        <v>2086.08</v>
      </c>
      <c r="J100" s="16" t="n">
        <v>459874940.43</v>
      </c>
      <c r="K100" s="16" t="n">
        <v>2</v>
      </c>
      <c r="L100" s="16" t="n">
        <v>1043.04</v>
      </c>
      <c r="M100" s="16" t="n">
        <v>2086.08</v>
      </c>
      <c r="N100" s="16" t="n">
        <v>0</v>
      </c>
      <c r="O100" s="16" t="n">
        <v>0</v>
      </c>
      <c r="P100" s="16" t="b">
        <v>0</v>
      </c>
    </row>
    <row r="101">
      <c r="A101" s="16" t="inlineStr">
        <is>
          <t>SIM-EST-0161273</t>
        </is>
      </c>
      <c r="B101" s="16" t="inlineStr">
        <is>
          <t>LJV146</t>
        </is>
      </c>
      <c r="C101" s="16" t="inlineStr">
        <is>
          <t>LOJA_VIVARA</t>
        </is>
      </c>
      <c r="D101" s="16" t="inlineStr">
        <is>
          <t>PRODUTO_ACABADO</t>
        </is>
      </c>
      <c r="E101" s="16" t="inlineStr">
        <is>
          <t>JOIAS</t>
        </is>
      </c>
      <c r="F101" s="16" t="inlineStr">
        <is>
          <t>JOI-02642</t>
        </is>
      </c>
      <c r="G101" s="16" t="n">
        <v>3</v>
      </c>
      <c r="H101" s="16" t="n">
        <v>336.3</v>
      </c>
      <c r="I101" s="16" t="n">
        <v>1008.9</v>
      </c>
      <c r="J101" s="16" t="n">
        <v>464739929.77</v>
      </c>
      <c r="K101" s="16" t="n">
        <v>3</v>
      </c>
      <c r="L101" s="16" t="n">
        <v>336.3</v>
      </c>
      <c r="M101" s="16" t="n">
        <v>1008.9</v>
      </c>
      <c r="N101" s="16" t="n">
        <v>0</v>
      </c>
      <c r="O101" s="16" t="n">
        <v>0</v>
      </c>
      <c r="P101" s="16" t="b">
        <v>0</v>
      </c>
    </row>
    <row r="102">
      <c r="A102" s="16" t="inlineStr">
        <is>
          <t>SIM-EST-0162937</t>
        </is>
      </c>
      <c r="B102" s="16" t="inlineStr">
        <is>
          <t>LJV255</t>
        </is>
      </c>
      <c r="C102" s="16" t="inlineStr">
        <is>
          <t>LOJA_VIVARA</t>
        </is>
      </c>
      <c r="D102" s="16" t="inlineStr">
        <is>
          <t>PRODUTO_ACABADO</t>
        </is>
      </c>
      <c r="E102" s="16" t="inlineStr">
        <is>
          <t>RELOGIOS</t>
        </is>
      </c>
      <c r="F102" s="16" t="inlineStr">
        <is>
          <t>REL-01702</t>
        </is>
      </c>
      <c r="G102" s="16" t="n">
        <v>2</v>
      </c>
      <c r="H102" s="16" t="n">
        <v>734.04</v>
      </c>
      <c r="I102" s="16" t="n">
        <v>1468.08</v>
      </c>
      <c r="J102" s="16" t="n">
        <v>469604919.12</v>
      </c>
      <c r="K102" s="16" t="n">
        <v>2</v>
      </c>
      <c r="L102" s="16" t="n">
        <v>734.04</v>
      </c>
      <c r="M102" s="16" t="n">
        <v>1468.08</v>
      </c>
      <c r="N102" s="16" t="n">
        <v>0</v>
      </c>
      <c r="O102" s="16" t="n">
        <v>0</v>
      </c>
      <c r="P102" s="16" t="b">
        <v>0</v>
      </c>
    </row>
    <row r="103">
      <c r="A103" s="16" t="inlineStr">
        <is>
          <t>SIM-EST-0164383</t>
        </is>
      </c>
      <c r="B103" s="16" t="inlineStr">
        <is>
          <t>FAB-MAO</t>
        </is>
      </c>
      <c r="C103" s="16" t="inlineStr">
        <is>
          <t>FABRICA</t>
        </is>
      </c>
      <c r="D103" s="16" t="inlineStr">
        <is>
          <t>MATERIA_PRIMA</t>
        </is>
      </c>
      <c r="E103" s="16" t="inlineStr">
        <is>
          <t>OURO</t>
        </is>
      </c>
      <c r="F103" s="16" t="inlineStr">
        <is>
          <t>MP-OUR-00897</t>
        </is>
      </c>
      <c r="G103" s="16" t="n">
        <v>774.98</v>
      </c>
      <c r="H103" s="16" t="n">
        <v>361.97</v>
      </c>
      <c r="I103" s="16" t="n">
        <v>280519.51</v>
      </c>
      <c r="J103" s="16" t="n">
        <v>474469908.46</v>
      </c>
      <c r="K103" s="16" t="n">
        <v>774.98</v>
      </c>
      <c r="L103" s="16" t="n">
        <v>361.97</v>
      </c>
      <c r="M103" s="16" t="n">
        <v>280519.51</v>
      </c>
      <c r="N103" s="16" t="n">
        <v>0</v>
      </c>
      <c r="O103" s="16" t="n">
        <v>0</v>
      </c>
      <c r="P103" s="16" t="b">
        <v>0</v>
      </c>
    </row>
    <row r="104">
      <c r="A104" s="16" t="inlineStr">
        <is>
          <t>SIM-EST-0166453</t>
        </is>
      </c>
      <c r="B104" s="16" t="inlineStr">
        <is>
          <t>LJV005</t>
        </is>
      </c>
      <c r="C104" s="16" t="inlineStr">
        <is>
          <t>LOJA_VIVARA</t>
        </is>
      </c>
      <c r="D104" s="16" t="inlineStr">
        <is>
          <t>PRODUTO_ACABADO</t>
        </is>
      </c>
      <c r="E104" s="16" t="inlineStr">
        <is>
          <t>JOIAS</t>
        </is>
      </c>
      <c r="F104" s="16" t="inlineStr">
        <is>
          <t>JOI-01785</t>
        </is>
      </c>
      <c r="G104" s="16" t="n">
        <v>4</v>
      </c>
      <c r="H104" s="16" t="n">
        <v>2985.92</v>
      </c>
      <c r="I104" s="16" t="n">
        <v>11943.68</v>
      </c>
      <c r="J104" s="16" t="n">
        <v>479334897.81</v>
      </c>
      <c r="K104" s="16" t="n">
        <v>4</v>
      </c>
      <c r="L104" s="16" t="n">
        <v>2985.92</v>
      </c>
      <c r="M104" s="16" t="n">
        <v>11943.68</v>
      </c>
      <c r="N104" s="16" t="n">
        <v>0</v>
      </c>
      <c r="O104" s="16" t="n">
        <v>0</v>
      </c>
      <c r="P104" s="16" t="b">
        <v>0</v>
      </c>
    </row>
    <row r="105">
      <c r="A105" s="16" t="inlineStr">
        <is>
          <t>SIM-EST-0167960</t>
        </is>
      </c>
      <c r="B105" s="16" t="inlineStr">
        <is>
          <t>LJV101</t>
        </is>
      </c>
      <c r="C105" s="16" t="inlineStr">
        <is>
          <t>LOJA_VIVARA</t>
        </is>
      </c>
      <c r="D105" s="16" t="inlineStr">
        <is>
          <t>PRODUTO_ACABADO</t>
        </is>
      </c>
      <c r="E105" s="16" t="inlineStr">
        <is>
          <t>RELOGIOS</t>
        </is>
      </c>
      <c r="F105" s="16" t="inlineStr">
        <is>
          <t>REL-03178</t>
        </is>
      </c>
      <c r="G105" s="16" t="n">
        <v>3</v>
      </c>
      <c r="H105" s="16" t="n">
        <v>257.69</v>
      </c>
      <c r="I105" s="16" t="n">
        <v>773.0700000000001</v>
      </c>
      <c r="J105" s="16" t="n">
        <v>484199887.15</v>
      </c>
      <c r="K105" s="16" t="n">
        <v>3</v>
      </c>
      <c r="L105" s="16" t="n">
        <v>257.69</v>
      </c>
      <c r="M105" s="16" t="n">
        <v>773.0700000000001</v>
      </c>
      <c r="N105" s="16" t="n">
        <v>0</v>
      </c>
      <c r="O105" s="16" t="n">
        <v>0</v>
      </c>
      <c r="P105" s="16" t="b">
        <v>0</v>
      </c>
    </row>
    <row r="106">
      <c r="A106" s="16" t="inlineStr">
        <is>
          <t>SIM-EST-0169883</t>
        </is>
      </c>
      <c r="B106" s="16" t="inlineStr">
        <is>
          <t>CD02</t>
        </is>
      </c>
      <c r="C106" s="16" t="inlineStr">
        <is>
          <t>CENTRO_DISTRIBUICAO</t>
        </is>
      </c>
      <c r="D106" s="16" t="inlineStr">
        <is>
          <t>PRODUTO_ACABADO</t>
        </is>
      </c>
      <c r="E106" s="16" t="inlineStr">
        <is>
          <t>JOIAS</t>
        </is>
      </c>
      <c r="F106" s="16" t="inlineStr">
        <is>
          <t>JOI-02942</t>
        </is>
      </c>
      <c r="G106" s="16" t="n">
        <v>71</v>
      </c>
      <c r="H106" s="16" t="n">
        <v>863.3099999999999</v>
      </c>
      <c r="I106" s="16" t="n">
        <v>61295.01</v>
      </c>
      <c r="J106" s="16" t="n">
        <v>489064876.49</v>
      </c>
      <c r="K106" s="16" t="n">
        <v>71</v>
      </c>
      <c r="L106" s="16" t="n">
        <v>863.3099999999999</v>
      </c>
      <c r="M106" s="16" t="n">
        <v>61295.01</v>
      </c>
      <c r="N106" s="16" t="n">
        <v>0</v>
      </c>
      <c r="O106" s="16" t="n">
        <v>0</v>
      </c>
      <c r="P106" s="16" t="b">
        <v>0</v>
      </c>
    </row>
    <row r="107">
      <c r="A107" s="16" t="inlineStr">
        <is>
          <t>SIM-EST-0171448</t>
        </is>
      </c>
      <c r="B107" s="16" t="inlineStr">
        <is>
          <t>LJV182</t>
        </is>
      </c>
      <c r="C107" s="16" t="inlineStr">
        <is>
          <t>LOJA_VIVARA</t>
        </is>
      </c>
      <c r="D107" s="16" t="inlineStr">
        <is>
          <t>PRODUTO_ACABADO</t>
        </is>
      </c>
      <c r="E107" s="16" t="inlineStr">
        <is>
          <t>JOIAS</t>
        </is>
      </c>
      <c r="F107" s="16" t="inlineStr">
        <is>
          <t>JOI-01926</t>
        </is>
      </c>
      <c r="G107" s="16" t="n">
        <v>7</v>
      </c>
      <c r="H107" s="16" t="n">
        <v>845.5599999999999</v>
      </c>
      <c r="I107" s="16" t="n">
        <v>5918.92</v>
      </c>
      <c r="J107" s="16" t="n">
        <v>493929865.84</v>
      </c>
      <c r="K107" s="16" t="n">
        <v>7</v>
      </c>
      <c r="L107" s="16" t="n">
        <v>845.5599999999999</v>
      </c>
      <c r="M107" s="16" t="n">
        <v>5918.92</v>
      </c>
      <c r="N107" s="16" t="n">
        <v>0</v>
      </c>
      <c r="O107" s="16" t="n">
        <v>0</v>
      </c>
      <c r="P107" s="16" t="b">
        <v>0</v>
      </c>
    </row>
    <row r="108">
      <c r="A108" s="16" t="inlineStr">
        <is>
          <t>SIM-EST-0173471</t>
        </is>
      </c>
      <c r="B108" s="16" t="inlineStr">
        <is>
          <t>CD01</t>
        </is>
      </c>
      <c r="C108" s="16" t="inlineStr">
        <is>
          <t>CENTRO_DISTRIBUICAO</t>
        </is>
      </c>
      <c r="D108" s="16" t="inlineStr">
        <is>
          <t>PRODUTO_ACABADO</t>
        </is>
      </c>
      <c r="E108" s="16" t="inlineStr">
        <is>
          <t>JOIAS</t>
        </is>
      </c>
      <c r="F108" s="16" t="inlineStr">
        <is>
          <t>JOI-02886</t>
        </is>
      </c>
      <c r="G108" s="16" t="n">
        <v>18</v>
      </c>
      <c r="H108" s="16" t="n">
        <v>3468.87</v>
      </c>
      <c r="I108" s="16" t="n">
        <v>62439.66</v>
      </c>
      <c r="J108" s="16" t="n">
        <v>498794855.18</v>
      </c>
      <c r="K108" s="16" t="n">
        <v>18</v>
      </c>
      <c r="L108" s="16" t="n">
        <v>3468.87</v>
      </c>
      <c r="M108" s="16" t="n">
        <v>62439.66</v>
      </c>
      <c r="N108" s="16" t="n">
        <v>0</v>
      </c>
      <c r="O108" s="16" t="n">
        <v>0</v>
      </c>
      <c r="P108" s="16" t="b">
        <v>0</v>
      </c>
    </row>
    <row r="109">
      <c r="A109" s="16" t="inlineStr">
        <is>
          <t>SIM-EST-0175151</t>
        </is>
      </c>
      <c r="B109" s="16" t="inlineStr">
        <is>
          <t>CD03</t>
        </is>
      </c>
      <c r="C109" s="16" t="inlineStr">
        <is>
          <t>CENTRO_DISTRIBUICAO</t>
        </is>
      </c>
      <c r="D109" s="16" t="inlineStr">
        <is>
          <t>PRODUTO_ACABADO</t>
        </is>
      </c>
      <c r="E109" s="16" t="inlineStr">
        <is>
          <t>LIFE</t>
        </is>
      </c>
      <c r="F109" s="16" t="inlineStr">
        <is>
          <t>LIF-01394</t>
        </is>
      </c>
      <c r="G109" s="16" t="n">
        <v>9</v>
      </c>
      <c r="H109" s="16" t="n">
        <v>140.22</v>
      </c>
      <c r="I109" s="16" t="n">
        <v>1261.98</v>
      </c>
      <c r="J109" s="16" t="n">
        <v>503659844.53</v>
      </c>
      <c r="K109" s="16" t="n">
        <v>9</v>
      </c>
      <c r="L109" s="16" t="n">
        <v>140.22</v>
      </c>
      <c r="M109" s="16" t="n">
        <v>1261.98</v>
      </c>
      <c r="N109" s="16" t="n">
        <v>0</v>
      </c>
      <c r="O109" s="16" t="n">
        <v>0</v>
      </c>
      <c r="P109" s="16" t="b">
        <v>0</v>
      </c>
    </row>
    <row r="110">
      <c r="A110" s="16" t="inlineStr">
        <is>
          <t>SIM-EST-0177296</t>
        </is>
      </c>
      <c r="B110" s="16" t="inlineStr">
        <is>
          <t>CD01</t>
        </is>
      </c>
      <c r="C110" s="16" t="inlineStr">
        <is>
          <t>CENTRO_DISTRIBUICAO</t>
        </is>
      </c>
      <c r="D110" s="16" t="inlineStr">
        <is>
          <t>PRODUTO_ACABADO</t>
        </is>
      </c>
      <c r="E110" s="16" t="inlineStr">
        <is>
          <t>JOIAS</t>
        </is>
      </c>
      <c r="F110" s="16" t="inlineStr">
        <is>
          <t>JOI-11495</t>
        </is>
      </c>
      <c r="G110" s="16" t="n">
        <v>21</v>
      </c>
      <c r="H110" s="16" t="n">
        <v>729.09</v>
      </c>
      <c r="I110" s="16" t="n">
        <v>15310.89</v>
      </c>
      <c r="J110" s="16" t="n">
        <v>508524833.87</v>
      </c>
      <c r="K110" s="16" t="n">
        <v>21</v>
      </c>
      <c r="L110" s="16" t="n">
        <v>729.09</v>
      </c>
      <c r="M110" s="16" t="n">
        <v>15310.89</v>
      </c>
      <c r="N110" s="16" t="n">
        <v>0</v>
      </c>
      <c r="O110" s="16" t="n">
        <v>0</v>
      </c>
      <c r="P110" s="16" t="b">
        <v>0</v>
      </c>
    </row>
    <row r="111">
      <c r="A111" s="16" t="inlineStr">
        <is>
          <t>SIM-EST-0178953</t>
        </is>
      </c>
      <c r="B111" s="16" t="inlineStr">
        <is>
          <t>FAB-MAO</t>
        </is>
      </c>
      <c r="C111" s="16" t="inlineStr">
        <is>
          <t>FABRICA</t>
        </is>
      </c>
      <c r="D111" s="16" t="inlineStr">
        <is>
          <t>MATERIA_PRIMA</t>
        </is>
      </c>
      <c r="E111" s="16" t="inlineStr">
        <is>
          <t>OURO</t>
        </is>
      </c>
      <c r="F111" s="16" t="inlineStr">
        <is>
          <t>MP-OUR-00549</t>
        </is>
      </c>
      <c r="G111" s="16" t="n">
        <v>1359.29</v>
      </c>
      <c r="H111" s="16" t="n">
        <v>357.71</v>
      </c>
      <c r="I111" s="16" t="n">
        <v>486231.63</v>
      </c>
      <c r="J111" s="16" t="n">
        <v>513389823.22</v>
      </c>
      <c r="K111" s="16" t="n">
        <v>1359.29</v>
      </c>
      <c r="L111" s="16" t="n">
        <v>357.71</v>
      </c>
      <c r="M111" s="16" t="n">
        <v>486231.63</v>
      </c>
      <c r="N111" s="16" t="n">
        <v>0</v>
      </c>
      <c r="O111" s="16" t="n">
        <v>0</v>
      </c>
      <c r="P111" s="16" t="b">
        <v>0</v>
      </c>
    </row>
    <row r="112">
      <c r="A112" s="16" t="inlineStr">
        <is>
          <t>SIM-EST-0180866</t>
        </is>
      </c>
      <c r="B112" s="16" t="inlineStr">
        <is>
          <t>LJV053</t>
        </is>
      </c>
      <c r="C112" s="16" t="inlineStr">
        <is>
          <t>LOJA_VIVARA</t>
        </is>
      </c>
      <c r="D112" s="16" t="inlineStr">
        <is>
          <t>PRODUTO_ACABADO</t>
        </is>
      </c>
      <c r="E112" s="16" t="inlineStr">
        <is>
          <t>JOIAS</t>
        </is>
      </c>
      <c r="F112" s="16" t="inlineStr">
        <is>
          <t>JOI-09674</t>
        </is>
      </c>
      <c r="G112" s="16" t="n">
        <v>6</v>
      </c>
      <c r="H112" s="16" t="n">
        <v>244.64</v>
      </c>
      <c r="I112" s="16" t="n">
        <v>1467.84</v>
      </c>
      <c r="J112" s="16" t="n">
        <v>518254812.56</v>
      </c>
      <c r="K112" s="16" t="n">
        <v>6</v>
      </c>
      <c r="L112" s="16" t="n">
        <v>244.64</v>
      </c>
      <c r="M112" s="16" t="n">
        <v>1467.84</v>
      </c>
      <c r="N112" s="16" t="n">
        <v>0</v>
      </c>
      <c r="O112" s="16" t="n">
        <v>0</v>
      </c>
      <c r="P112" s="16" t="b">
        <v>0</v>
      </c>
    </row>
    <row r="113">
      <c r="A113" s="16" t="inlineStr">
        <is>
          <t>SIM-EST-0182518</t>
        </is>
      </c>
      <c r="B113" s="16" t="inlineStr">
        <is>
          <t>FAB-MAO</t>
        </is>
      </c>
      <c r="C113" s="16" t="inlineStr">
        <is>
          <t>FABRICA</t>
        </is>
      </c>
      <c r="D113" s="16" t="inlineStr">
        <is>
          <t>MATERIA_PRIMA</t>
        </is>
      </c>
      <c r="E113" s="16" t="inlineStr">
        <is>
          <t>DIAMANTES</t>
        </is>
      </c>
      <c r="F113" s="16" t="inlineStr">
        <is>
          <t>MP-DIA-00446</t>
        </is>
      </c>
      <c r="G113" s="16" t="n">
        <v>14</v>
      </c>
      <c r="H113" s="16" t="n">
        <v>2475.6</v>
      </c>
      <c r="I113" s="16" t="n">
        <v>34658.4</v>
      </c>
      <c r="J113" s="16" t="n">
        <v>523119801.91</v>
      </c>
      <c r="K113" s="16" t="n">
        <v>14</v>
      </c>
      <c r="L113" s="16" t="n">
        <v>2475.6</v>
      </c>
      <c r="M113" s="16" t="n">
        <v>34658.4</v>
      </c>
      <c r="N113" s="16" t="n">
        <v>0</v>
      </c>
      <c r="O113" s="16" t="n">
        <v>0</v>
      </c>
      <c r="P113" s="16" t="b">
        <v>0</v>
      </c>
    </row>
    <row r="114">
      <c r="A114" s="16" t="inlineStr">
        <is>
          <t>SIM-EST-0184271</t>
        </is>
      </c>
      <c r="B114" s="16" t="inlineStr">
        <is>
          <t>FIL-SP</t>
        </is>
      </c>
      <c r="C114" s="16" t="inlineStr">
        <is>
          <t>FILIAL_COMPRAS</t>
        </is>
      </c>
      <c r="D114" s="16" t="inlineStr">
        <is>
          <t>MATERIA_PRIMA</t>
        </is>
      </c>
      <c r="E114" s="16" t="inlineStr">
        <is>
          <t>PEDRAS_CORADAS</t>
        </is>
      </c>
      <c r="F114" s="16" t="inlineStr">
        <is>
          <t>MP-PED-00433</t>
        </is>
      </c>
      <c r="G114" s="16" t="n">
        <v>207.15</v>
      </c>
      <c r="H114" s="16" t="n">
        <v>677.55</v>
      </c>
      <c r="I114" s="16" t="n">
        <v>140354.48</v>
      </c>
      <c r="J114" s="16" t="n">
        <v>527984791.25</v>
      </c>
      <c r="K114" s="16" t="n">
        <v>207.15</v>
      </c>
      <c r="L114" s="16" t="n">
        <v>677.55</v>
      </c>
      <c r="M114" s="16" t="n">
        <v>140354.48</v>
      </c>
      <c r="N114" s="16" t="n">
        <v>0</v>
      </c>
      <c r="O114" s="16" t="n">
        <v>0</v>
      </c>
      <c r="P114" s="16" t="b">
        <v>0</v>
      </c>
    </row>
    <row r="115">
      <c r="A115" s="16" t="inlineStr">
        <is>
          <t>SIM-EST-0185809</t>
        </is>
      </c>
      <c r="B115" s="16" t="inlineStr">
        <is>
          <t>FAB-MAO</t>
        </is>
      </c>
      <c r="C115" s="16" t="inlineStr">
        <is>
          <t>FABRICA</t>
        </is>
      </c>
      <c r="D115" s="16" t="inlineStr">
        <is>
          <t>MATERIA_PRIMA</t>
        </is>
      </c>
      <c r="E115" s="16" t="inlineStr">
        <is>
          <t>DIAMANTES</t>
        </is>
      </c>
      <c r="F115" s="16" t="inlineStr">
        <is>
          <t>MP-DIA-01749</t>
        </is>
      </c>
      <c r="G115" s="16" t="n">
        <v>7.85</v>
      </c>
      <c r="H115" s="16" t="n">
        <v>5573.89</v>
      </c>
      <c r="I115" s="16" t="n">
        <v>43755.04</v>
      </c>
      <c r="J115" s="16" t="n">
        <v>532849780.6</v>
      </c>
      <c r="K115" s="16" t="n">
        <v>7.85</v>
      </c>
      <c r="L115" s="16" t="n">
        <v>5573.89</v>
      </c>
      <c r="M115" s="16" t="n">
        <v>43755.04</v>
      </c>
      <c r="N115" s="16" t="n">
        <v>0</v>
      </c>
      <c r="O115" s="16" t="n">
        <v>0</v>
      </c>
      <c r="P115" s="16" t="b">
        <v>0</v>
      </c>
    </row>
    <row r="116">
      <c r="A116" s="16" t="inlineStr">
        <is>
          <t>SIM-EST-0187253</t>
        </is>
      </c>
      <c r="B116" s="16" t="inlineStr">
        <is>
          <t>CD02</t>
        </is>
      </c>
      <c r="C116" s="16" t="inlineStr">
        <is>
          <t>CENTRO_DISTRIBUICAO</t>
        </is>
      </c>
      <c r="D116" s="16" t="inlineStr">
        <is>
          <t>PRODUTO_ACABADO</t>
        </is>
      </c>
      <c r="E116" s="16" t="inlineStr">
        <is>
          <t>JOIAS</t>
        </is>
      </c>
      <c r="F116" s="16" t="inlineStr">
        <is>
          <t>JOI-02826</t>
        </is>
      </c>
      <c r="G116" s="16" t="n">
        <v>51</v>
      </c>
      <c r="H116" s="16" t="n">
        <v>3396.75</v>
      </c>
      <c r="I116" s="16" t="n">
        <v>173234.25</v>
      </c>
      <c r="J116" s="16" t="n">
        <v>537714769.9400001</v>
      </c>
      <c r="K116" s="16" t="n">
        <v>51</v>
      </c>
      <c r="L116" s="16" t="n">
        <v>3396.75</v>
      </c>
      <c r="M116" s="16" t="n">
        <v>173234.25</v>
      </c>
      <c r="N116" s="16" t="n">
        <v>0</v>
      </c>
      <c r="O116" s="16" t="n">
        <v>0</v>
      </c>
      <c r="P116" s="16" t="b">
        <v>0</v>
      </c>
    </row>
    <row r="117">
      <c r="A117" s="16" t="inlineStr">
        <is>
          <t>SIM-EST-0189063</t>
        </is>
      </c>
      <c r="B117" s="16" t="inlineStr">
        <is>
          <t>CD02</t>
        </is>
      </c>
      <c r="C117" s="16" t="inlineStr">
        <is>
          <t>CENTRO_DISTRIBUICAO</t>
        </is>
      </c>
      <c r="D117" s="16" t="inlineStr">
        <is>
          <t>PRODUTO_ACABADO</t>
        </is>
      </c>
      <c r="E117" s="16" t="inlineStr">
        <is>
          <t>RELOGIOS</t>
        </is>
      </c>
      <c r="F117" s="16" t="inlineStr">
        <is>
          <t>REL-01807</t>
        </is>
      </c>
      <c r="G117" s="16" t="n">
        <v>24</v>
      </c>
      <c r="H117" s="16" t="n">
        <v>1354.91</v>
      </c>
      <c r="I117" s="16" t="n">
        <v>32517.84</v>
      </c>
      <c r="J117" s="16" t="n">
        <v>542579759.29</v>
      </c>
      <c r="K117" s="16" t="n">
        <v>24</v>
      </c>
      <c r="L117" s="16" t="n">
        <v>1354.91</v>
      </c>
      <c r="M117" s="16" t="n">
        <v>32517.84</v>
      </c>
      <c r="N117" s="16" t="n">
        <v>0</v>
      </c>
      <c r="O117" s="16" t="n">
        <v>0</v>
      </c>
      <c r="P117" s="16" t="b">
        <v>0</v>
      </c>
    </row>
    <row r="118">
      <c r="A118" s="16" t="inlineStr">
        <is>
          <t>SIM-EST-0190697</t>
        </is>
      </c>
      <c r="B118" s="16" t="inlineStr">
        <is>
          <t>LJV147</t>
        </is>
      </c>
      <c r="C118" s="16" t="inlineStr">
        <is>
          <t>LOJA_VIVARA</t>
        </is>
      </c>
      <c r="D118" s="16" t="inlineStr">
        <is>
          <t>PRODUTO_ACABADO</t>
        </is>
      </c>
      <c r="E118" s="16" t="inlineStr">
        <is>
          <t>JOIAS</t>
        </is>
      </c>
      <c r="F118" s="16" t="inlineStr">
        <is>
          <t>JOI-03796</t>
        </is>
      </c>
      <c r="G118" s="16" t="n">
        <v>3</v>
      </c>
      <c r="H118" s="16" t="n">
        <v>3850.68</v>
      </c>
      <c r="I118" s="16" t="n">
        <v>11552.04</v>
      </c>
      <c r="J118" s="16" t="n">
        <v>547444748.63</v>
      </c>
      <c r="K118" s="16" t="n">
        <v>3</v>
      </c>
      <c r="L118" s="16" t="n">
        <v>3850.68</v>
      </c>
      <c r="M118" s="16" t="n">
        <v>11552.04</v>
      </c>
      <c r="N118" s="16" t="n">
        <v>0</v>
      </c>
      <c r="O118" s="16" t="n">
        <v>0</v>
      </c>
      <c r="P118" s="16" t="b">
        <v>0</v>
      </c>
    </row>
    <row r="119">
      <c r="A119" s="16" t="inlineStr">
        <is>
          <t>SIM-EST-0192340</t>
        </is>
      </c>
      <c r="B119" s="16" t="inlineStr">
        <is>
          <t>LJV049</t>
        </is>
      </c>
      <c r="C119" s="16" t="inlineStr">
        <is>
          <t>LOJA_VIVARA</t>
        </is>
      </c>
      <c r="D119" s="16" t="inlineStr">
        <is>
          <t>PRODUTO_ACABADO</t>
        </is>
      </c>
      <c r="E119" s="16" t="inlineStr">
        <is>
          <t>JOIAS</t>
        </is>
      </c>
      <c r="F119" s="16" t="inlineStr">
        <is>
          <t>JOI-06538</t>
        </is>
      </c>
      <c r="G119" s="16" t="n">
        <v>3</v>
      </c>
      <c r="H119" s="16" t="n">
        <v>1983.56</v>
      </c>
      <c r="I119" s="16" t="n">
        <v>5950.68</v>
      </c>
      <c r="J119" s="16" t="n">
        <v>552309737.98</v>
      </c>
      <c r="K119" s="16" t="n">
        <v>3</v>
      </c>
      <c r="L119" s="16" t="n">
        <v>1983.56</v>
      </c>
      <c r="M119" s="16" t="n">
        <v>5950.68</v>
      </c>
      <c r="N119" s="16" t="n">
        <v>0</v>
      </c>
      <c r="O119" s="16" t="n">
        <v>0</v>
      </c>
      <c r="P119" s="16" t="b">
        <v>0</v>
      </c>
    </row>
    <row r="120">
      <c r="A120" s="16" t="inlineStr">
        <is>
          <t>SIM-EST-0193924</t>
        </is>
      </c>
      <c r="B120" s="16" t="inlineStr">
        <is>
          <t>LJV021</t>
        </is>
      </c>
      <c r="C120" s="16" t="inlineStr">
        <is>
          <t>LOJA_VIVARA</t>
        </is>
      </c>
      <c r="D120" s="16" t="inlineStr">
        <is>
          <t>PRODUTO_ACABADO</t>
        </is>
      </c>
      <c r="E120" s="16" t="inlineStr">
        <is>
          <t>JOIAS</t>
        </is>
      </c>
      <c r="F120" s="16" t="inlineStr">
        <is>
          <t>JOI-11621</t>
        </is>
      </c>
      <c r="G120" s="16" t="n">
        <v>1</v>
      </c>
      <c r="H120" s="16" t="n">
        <v>2353.83</v>
      </c>
      <c r="I120" s="16" t="n">
        <v>2353.83</v>
      </c>
      <c r="J120" s="16" t="n">
        <v>557174727.3200001</v>
      </c>
      <c r="K120" s="16" t="n">
        <v>1</v>
      </c>
      <c r="L120" s="16" t="n">
        <v>2353.83</v>
      </c>
      <c r="M120" s="16" t="n">
        <v>2353.83</v>
      </c>
      <c r="N120" s="16" t="n">
        <v>0</v>
      </c>
      <c r="O120" s="16" t="n">
        <v>0</v>
      </c>
      <c r="P120" s="16" t="b">
        <v>0</v>
      </c>
    </row>
    <row r="121">
      <c r="A121" s="16" t="inlineStr">
        <is>
          <t>SIM-EST-0195529</t>
        </is>
      </c>
      <c r="B121" s="16" t="inlineStr">
        <is>
          <t>FIL-SP</t>
        </is>
      </c>
      <c r="C121" s="16" t="inlineStr">
        <is>
          <t>FILIAL_COMPRAS</t>
        </is>
      </c>
      <c r="D121" s="16" t="inlineStr">
        <is>
          <t>MATERIA_PRIMA</t>
        </is>
      </c>
      <c r="E121" s="16" t="inlineStr">
        <is>
          <t>DIAMANTES</t>
        </is>
      </c>
      <c r="F121" s="16" t="inlineStr">
        <is>
          <t>MP-DIA-01872</t>
        </is>
      </c>
      <c r="G121" s="16" t="n">
        <v>11.51</v>
      </c>
      <c r="H121" s="16" t="n">
        <v>3373.65</v>
      </c>
      <c r="I121" s="16" t="n">
        <v>38830.71</v>
      </c>
      <c r="J121" s="16" t="n">
        <v>562039716.66</v>
      </c>
      <c r="K121" s="16" t="n">
        <v>11.51</v>
      </c>
      <c r="L121" s="16" t="n">
        <v>3373.65</v>
      </c>
      <c r="M121" s="16" t="n">
        <v>38830.71</v>
      </c>
      <c r="N121" s="16" t="n">
        <v>0</v>
      </c>
      <c r="O121" s="16" t="n">
        <v>0</v>
      </c>
      <c r="P121" s="16" t="b">
        <v>0</v>
      </c>
    </row>
    <row r="122">
      <c r="A122" s="16" t="inlineStr">
        <is>
          <t>SIM-EST-0197123</t>
        </is>
      </c>
      <c r="B122" s="16" t="inlineStr">
        <is>
          <t>CD02</t>
        </is>
      </c>
      <c r="C122" s="16" t="inlineStr">
        <is>
          <t>CENTRO_DISTRIBUICAO</t>
        </is>
      </c>
      <c r="D122" s="16" t="inlineStr">
        <is>
          <t>PRODUTO_ACABADO</t>
        </is>
      </c>
      <c r="E122" s="16" t="inlineStr">
        <is>
          <t>JOIAS</t>
        </is>
      </c>
      <c r="F122" s="16" t="inlineStr">
        <is>
          <t>JOI-11932</t>
        </is>
      </c>
      <c r="G122" s="16" t="n">
        <v>26</v>
      </c>
      <c r="H122" s="16" t="n">
        <v>799.1900000000001</v>
      </c>
      <c r="I122" s="16" t="n">
        <v>20778.94</v>
      </c>
      <c r="J122" s="16" t="n">
        <v>566904706.01</v>
      </c>
      <c r="K122" s="16" t="n">
        <v>26</v>
      </c>
      <c r="L122" s="16" t="n">
        <v>799.1900000000001</v>
      </c>
      <c r="M122" s="16" t="n">
        <v>20778.94</v>
      </c>
      <c r="N122" s="16" t="n">
        <v>0</v>
      </c>
      <c r="O122" s="16" t="n">
        <v>0</v>
      </c>
      <c r="P122" s="16" t="b">
        <v>0</v>
      </c>
    </row>
    <row r="123">
      <c r="A123" s="16" t="inlineStr">
        <is>
          <t>SIM-EST-0198707</t>
        </is>
      </c>
      <c r="B123" s="16" t="inlineStr">
        <is>
          <t>CD01</t>
        </is>
      </c>
      <c r="C123" s="16" t="inlineStr">
        <is>
          <t>CENTRO_DISTRIBUICAO</t>
        </is>
      </c>
      <c r="D123" s="16" t="inlineStr">
        <is>
          <t>PRODUTO_ACABADO</t>
        </is>
      </c>
      <c r="E123" s="16" t="inlineStr">
        <is>
          <t>JOIAS</t>
        </is>
      </c>
      <c r="F123" s="16" t="inlineStr">
        <is>
          <t>JOI-01938</t>
        </is>
      </c>
      <c r="G123" s="16" t="n">
        <v>67</v>
      </c>
      <c r="H123" s="16" t="n">
        <v>1789.61</v>
      </c>
      <c r="I123" s="16" t="n">
        <v>119903.87</v>
      </c>
      <c r="J123" s="16" t="n">
        <v>571769695.35</v>
      </c>
      <c r="K123" s="16" t="n">
        <v>67</v>
      </c>
      <c r="L123" s="16" t="n">
        <v>1789.61</v>
      </c>
      <c r="M123" s="16" t="n">
        <v>119903.87</v>
      </c>
      <c r="N123" s="16" t="n">
        <v>0</v>
      </c>
      <c r="O123" s="16" t="n">
        <v>0</v>
      </c>
      <c r="P123" s="16" t="b">
        <v>0</v>
      </c>
    </row>
    <row r="124">
      <c r="A124" s="16" t="inlineStr">
        <is>
          <t>SIM-EST-0200619</t>
        </is>
      </c>
      <c r="B124" s="16" t="inlineStr">
        <is>
          <t>FAB-MAO</t>
        </is>
      </c>
      <c r="C124" s="16" t="inlineStr">
        <is>
          <t>FABRICA</t>
        </is>
      </c>
      <c r="D124" s="16" t="inlineStr">
        <is>
          <t>MATERIA_PRIMA</t>
        </is>
      </c>
      <c r="E124" s="16" t="inlineStr">
        <is>
          <t>OURO</t>
        </is>
      </c>
      <c r="F124" s="16" t="inlineStr">
        <is>
          <t>MP-OUR-00078</t>
        </is>
      </c>
      <c r="G124" s="16" t="n">
        <v>573.33</v>
      </c>
      <c r="H124" s="16" t="n">
        <v>354.15</v>
      </c>
      <c r="I124" s="16" t="n">
        <v>203044.82</v>
      </c>
      <c r="J124" s="16" t="n">
        <v>576634684.7</v>
      </c>
      <c r="K124" s="16" t="n">
        <v>573.33</v>
      </c>
      <c r="L124" s="16" t="n">
        <v>354.15</v>
      </c>
      <c r="M124" s="16" t="n">
        <v>203044.82</v>
      </c>
      <c r="N124" s="16" t="n">
        <v>0</v>
      </c>
      <c r="O124" s="16" t="n">
        <v>0</v>
      </c>
      <c r="P124" s="16" t="b">
        <v>0</v>
      </c>
    </row>
    <row r="125">
      <c r="A125" s="16" t="inlineStr">
        <is>
          <t>SIM-EST-0202391</t>
        </is>
      </c>
      <c r="B125" s="16" t="inlineStr">
        <is>
          <t>FIL-SP</t>
        </is>
      </c>
      <c r="C125" s="16" t="inlineStr">
        <is>
          <t>FILIAL_COMPRAS</t>
        </is>
      </c>
      <c r="D125" s="16" t="inlineStr">
        <is>
          <t>MATERIA_PRIMA</t>
        </is>
      </c>
      <c r="E125" s="16" t="inlineStr">
        <is>
          <t>COMPONENTES_RELOGIO</t>
        </is>
      </c>
      <c r="F125" s="16" t="inlineStr">
        <is>
          <t>MP-COM-01646</t>
        </is>
      </c>
      <c r="G125" s="16" t="n">
        <v>202</v>
      </c>
      <c r="H125" s="16" t="n">
        <v>48.53</v>
      </c>
      <c r="I125" s="16" t="n">
        <v>9803.059999999999</v>
      </c>
      <c r="J125" s="16" t="n">
        <v>581499674.04</v>
      </c>
      <c r="K125" s="16" t="n">
        <v>202</v>
      </c>
      <c r="L125" s="16" t="n">
        <v>48.53</v>
      </c>
      <c r="M125" s="16" t="n">
        <v>9803.059999999999</v>
      </c>
      <c r="N125" s="16" t="n">
        <v>0</v>
      </c>
      <c r="O125" s="16" t="n">
        <v>0</v>
      </c>
      <c r="P125" s="16" t="b">
        <v>0</v>
      </c>
    </row>
    <row r="126">
      <c r="A126" s="16" t="inlineStr">
        <is>
          <t>SIM-EST-0204207</t>
        </is>
      </c>
      <c r="B126" s="16" t="inlineStr">
        <is>
          <t>FIL-SP</t>
        </is>
      </c>
      <c r="C126" s="16" t="inlineStr">
        <is>
          <t>FILIAL_COMPRAS</t>
        </is>
      </c>
      <c r="D126" s="16" t="inlineStr">
        <is>
          <t>MATERIA_PRIMA</t>
        </is>
      </c>
      <c r="E126" s="16" t="inlineStr">
        <is>
          <t>COMPONENTES_RELOGIO</t>
        </is>
      </c>
      <c r="F126" s="16" t="inlineStr">
        <is>
          <t>MP-COM-00779</t>
        </is>
      </c>
      <c r="G126" s="16" t="n">
        <v>1263</v>
      </c>
      <c r="H126" s="16" t="n">
        <v>53.89</v>
      </c>
      <c r="I126" s="16" t="n">
        <v>68063.07000000001</v>
      </c>
      <c r="J126" s="16" t="n">
        <v>586364663.39</v>
      </c>
      <c r="K126" s="16" t="n">
        <v>1263</v>
      </c>
      <c r="L126" s="16" t="n">
        <v>53.89</v>
      </c>
      <c r="M126" s="16" t="n">
        <v>68063.07000000001</v>
      </c>
      <c r="N126" s="16" t="n">
        <v>0</v>
      </c>
      <c r="O126" s="16" t="n">
        <v>0</v>
      </c>
      <c r="P126" s="16" t="b">
        <v>0</v>
      </c>
    </row>
    <row r="127">
      <c r="A127" s="16" t="inlineStr">
        <is>
          <t>SIM-EST-0205918</t>
        </is>
      </c>
      <c r="B127" s="16" t="inlineStr">
        <is>
          <t>FAB-MAO</t>
        </is>
      </c>
      <c r="C127" s="16" t="inlineStr">
        <is>
          <t>FABRICA</t>
        </is>
      </c>
      <c r="D127" s="16" t="inlineStr">
        <is>
          <t>MATERIA_PRIMA</t>
        </is>
      </c>
      <c r="E127" s="16" t="inlineStr">
        <is>
          <t>OURO</t>
        </is>
      </c>
      <c r="F127" s="16" t="inlineStr">
        <is>
          <t>MP-OUR-00601</t>
        </is>
      </c>
      <c r="G127" s="16" t="n">
        <v>1054.07</v>
      </c>
      <c r="H127" s="16" t="n">
        <v>359.36</v>
      </c>
      <c r="I127" s="16" t="n">
        <v>378790.6</v>
      </c>
      <c r="J127" s="16" t="n">
        <v>591229652.73</v>
      </c>
      <c r="K127" s="16" t="n">
        <v>1054.07</v>
      </c>
      <c r="L127" s="16" t="n">
        <v>359.36</v>
      </c>
      <c r="M127" s="16" t="n">
        <v>378790.6</v>
      </c>
      <c r="N127" s="16" t="n">
        <v>0</v>
      </c>
      <c r="O127" s="16" t="n">
        <v>0</v>
      </c>
      <c r="P127" s="16" t="b">
        <v>0</v>
      </c>
    </row>
    <row r="128">
      <c r="A128" s="16" t="inlineStr">
        <is>
          <t>SIM-EST-0208187</t>
        </is>
      </c>
      <c r="B128" s="16" t="inlineStr">
        <is>
          <t>CD02</t>
        </is>
      </c>
      <c r="C128" s="16" t="inlineStr">
        <is>
          <t>CENTRO_DISTRIBUICAO</t>
        </is>
      </c>
      <c r="D128" s="16" t="inlineStr">
        <is>
          <t>PRODUTO_ACABADO</t>
        </is>
      </c>
      <c r="E128" s="16" t="inlineStr">
        <is>
          <t>RELOGIOS</t>
        </is>
      </c>
      <c r="F128" s="16" t="inlineStr">
        <is>
          <t>REL-01055</t>
        </is>
      </c>
      <c r="G128" s="16" t="n">
        <v>30</v>
      </c>
      <c r="H128" s="16" t="n">
        <v>556.6</v>
      </c>
      <c r="I128" s="16" t="n">
        <v>16698</v>
      </c>
      <c r="J128" s="16" t="n">
        <v>596094642.08</v>
      </c>
      <c r="K128" s="16" t="n">
        <v>30</v>
      </c>
      <c r="L128" s="16" t="n">
        <v>556.6</v>
      </c>
      <c r="M128" s="16" t="n">
        <v>16698</v>
      </c>
      <c r="N128" s="16" t="n">
        <v>0</v>
      </c>
      <c r="O128" s="16" t="n">
        <v>0</v>
      </c>
      <c r="P128" s="16" t="b">
        <v>0</v>
      </c>
    </row>
    <row r="129">
      <c r="A129" s="16" t="inlineStr">
        <is>
          <t>SIM-EST-0209765</t>
        </is>
      </c>
      <c r="B129" s="16" t="inlineStr">
        <is>
          <t>FAB-MAO</t>
        </is>
      </c>
      <c r="C129" s="16" t="inlineStr">
        <is>
          <t>FABRICA</t>
        </is>
      </c>
      <c r="D129" s="16" t="inlineStr">
        <is>
          <t>MATERIA_PRIMA</t>
        </is>
      </c>
      <c r="E129" s="16" t="inlineStr">
        <is>
          <t>PEDRAS_CORADAS</t>
        </is>
      </c>
      <c r="F129" s="16" t="inlineStr">
        <is>
          <t>MP-PED-01294</t>
        </is>
      </c>
      <c r="G129" s="16" t="n">
        <v>165.92</v>
      </c>
      <c r="H129" s="16" t="n">
        <v>294.3</v>
      </c>
      <c r="I129" s="16" t="n">
        <v>48830.26</v>
      </c>
      <c r="J129" s="16" t="n">
        <v>600959631.42</v>
      </c>
      <c r="K129" s="16" t="n">
        <v>165.92</v>
      </c>
      <c r="L129" s="16" t="n">
        <v>294.3</v>
      </c>
      <c r="M129" s="16" t="n">
        <v>48830.26</v>
      </c>
      <c r="N129" s="16" t="n">
        <v>0</v>
      </c>
      <c r="O129" s="16" t="n">
        <v>0</v>
      </c>
      <c r="P129" s="16" t="b">
        <v>0</v>
      </c>
    </row>
    <row r="130">
      <c r="A130" s="16" t="inlineStr">
        <is>
          <t>SIM-EST-0211084</t>
        </is>
      </c>
      <c r="B130" s="16" t="inlineStr">
        <is>
          <t>FAB-MAO</t>
        </is>
      </c>
      <c r="C130" s="16" t="inlineStr">
        <is>
          <t>FABRICA</t>
        </is>
      </c>
      <c r="D130" s="16" t="inlineStr">
        <is>
          <t>PRODUTO_ACABADO</t>
        </is>
      </c>
      <c r="E130" s="16" t="inlineStr">
        <is>
          <t>JOIAS</t>
        </is>
      </c>
      <c r="F130" s="16" t="inlineStr">
        <is>
          <t>JOI-00390</t>
        </is>
      </c>
      <c r="G130" s="16" t="n">
        <v>45</v>
      </c>
      <c r="H130" s="16" t="n">
        <v>1639.42</v>
      </c>
      <c r="I130" s="16" t="n">
        <v>73773.89999999999</v>
      </c>
      <c r="J130" s="16" t="n">
        <v>605824620.77</v>
      </c>
      <c r="K130" s="16" t="n">
        <v>45</v>
      </c>
      <c r="L130" s="16" t="n">
        <v>1639.42</v>
      </c>
      <c r="M130" s="16" t="n">
        <v>73773.89999999999</v>
      </c>
      <c r="N130" s="16" t="n">
        <v>0</v>
      </c>
      <c r="O130" s="16" t="n">
        <v>0</v>
      </c>
      <c r="P130" s="16" t="b">
        <v>0</v>
      </c>
    </row>
    <row r="131">
      <c r="A131" s="16" t="inlineStr">
        <is>
          <t>SIM-EST-0212749</t>
        </is>
      </c>
      <c r="B131" s="16" t="inlineStr">
        <is>
          <t>CD03</t>
        </is>
      </c>
      <c r="C131" s="16" t="inlineStr">
        <is>
          <t>CENTRO_DISTRIBUICAO</t>
        </is>
      </c>
      <c r="D131" s="16" t="inlineStr">
        <is>
          <t>MAT_CONSUMO_EMBALAGEM</t>
        </is>
      </c>
      <c r="E131" s="16" t="inlineStr">
        <is>
          <t>MATERIAL_CONSUMO</t>
        </is>
      </c>
      <c r="F131" s="16" t="inlineStr">
        <is>
          <t>EMB-00878</t>
        </is>
      </c>
      <c r="G131" s="16" t="n">
        <v>23733</v>
      </c>
      <c r="H131" s="16" t="n">
        <v>32.64</v>
      </c>
      <c r="I131" s="16" t="n">
        <v>774645.12</v>
      </c>
      <c r="J131" s="16" t="n">
        <v>610689610.11</v>
      </c>
      <c r="K131" s="16" t="n">
        <v>23733</v>
      </c>
      <c r="L131" s="16" t="n">
        <v>32.64</v>
      </c>
      <c r="M131" s="16" t="n">
        <v>774645.12</v>
      </c>
      <c r="N131" s="16" t="n">
        <v>0</v>
      </c>
      <c r="O131" s="16" t="n">
        <v>0</v>
      </c>
      <c r="P131" s="16" t="b">
        <v>0</v>
      </c>
    </row>
    <row r="132">
      <c r="A132" s="16" t="inlineStr">
        <is>
          <t>SIM-EST-0214776</t>
        </is>
      </c>
      <c r="B132" s="16" t="inlineStr">
        <is>
          <t>FAB-MAO</t>
        </is>
      </c>
      <c r="C132" s="16" t="inlineStr">
        <is>
          <t>FABRICA</t>
        </is>
      </c>
      <c r="D132" s="16" t="inlineStr">
        <is>
          <t>MATERIA_PRIMA</t>
        </is>
      </c>
      <c r="E132" s="16" t="inlineStr">
        <is>
          <t>PRATA</t>
        </is>
      </c>
      <c r="F132" s="16" t="inlineStr">
        <is>
          <t>MP-PRA-00590</t>
        </is>
      </c>
      <c r="G132" s="16" t="n">
        <v>3081.41</v>
      </c>
      <c r="H132" s="16" t="n">
        <v>5.03</v>
      </c>
      <c r="I132" s="16" t="n">
        <v>15499.49</v>
      </c>
      <c r="J132" s="16" t="n">
        <v>615554599.46</v>
      </c>
      <c r="K132" s="16" t="n">
        <v>3081.41</v>
      </c>
      <c r="L132" s="16" t="n">
        <v>5.03</v>
      </c>
      <c r="M132" s="16" t="n">
        <v>15499.49</v>
      </c>
      <c r="N132" s="16" t="n">
        <v>0</v>
      </c>
      <c r="O132" s="16" t="n">
        <v>0</v>
      </c>
      <c r="P132" s="16" t="b">
        <v>0</v>
      </c>
    </row>
    <row r="133">
      <c r="A133" s="16" t="inlineStr">
        <is>
          <t>SIM-EST-0216369</t>
        </is>
      </c>
      <c r="B133" s="16" t="inlineStr">
        <is>
          <t>CD03</t>
        </is>
      </c>
      <c r="C133" s="16" t="inlineStr">
        <is>
          <t>CENTRO_DISTRIBUICAO</t>
        </is>
      </c>
      <c r="D133" s="16" t="inlineStr">
        <is>
          <t>PRODUTO_ACABADO</t>
        </is>
      </c>
      <c r="E133" s="16" t="inlineStr">
        <is>
          <t>JOIAS</t>
        </is>
      </c>
      <c r="F133" s="16" t="inlineStr">
        <is>
          <t>JOI-06995</t>
        </is>
      </c>
      <c r="G133" s="16" t="n">
        <v>112</v>
      </c>
      <c r="H133" s="16" t="n">
        <v>6499.54</v>
      </c>
      <c r="I133" s="16" t="n">
        <v>727948.48</v>
      </c>
      <c r="J133" s="16" t="n">
        <v>620419588.8</v>
      </c>
      <c r="K133" s="16" t="n">
        <v>112</v>
      </c>
      <c r="L133" s="16" t="n">
        <v>6499.54</v>
      </c>
      <c r="M133" s="16" t="n">
        <v>727948.48</v>
      </c>
      <c r="N133" s="16" t="n">
        <v>0</v>
      </c>
      <c r="O133" s="16" t="n">
        <v>0</v>
      </c>
      <c r="P133" s="16" t="b">
        <v>0</v>
      </c>
    </row>
    <row r="134">
      <c r="A134" s="16" t="inlineStr">
        <is>
          <t>SIM-EST-0218146</t>
        </is>
      </c>
      <c r="B134" s="16" t="inlineStr">
        <is>
          <t>FAB-MAO</t>
        </is>
      </c>
      <c r="C134" s="16" t="inlineStr">
        <is>
          <t>FABRICA</t>
        </is>
      </c>
      <c r="D134" s="16" t="inlineStr">
        <is>
          <t>MATERIA_PRIMA</t>
        </is>
      </c>
      <c r="E134" s="16" t="inlineStr">
        <is>
          <t>PRATA</t>
        </is>
      </c>
      <c r="F134" s="16" t="inlineStr">
        <is>
          <t>MP-PRA-00569</t>
        </is>
      </c>
      <c r="G134" s="16" t="n">
        <v>19298.53</v>
      </c>
      <c r="H134" s="16" t="n">
        <v>4.93</v>
      </c>
      <c r="I134" s="16" t="n">
        <v>95141.75</v>
      </c>
      <c r="J134" s="16" t="n">
        <v>625284578.15</v>
      </c>
      <c r="K134" s="16" t="n">
        <v>19298.53</v>
      </c>
      <c r="L134" s="16" t="n">
        <v>4.93</v>
      </c>
      <c r="M134" s="16" t="n">
        <v>95141.75</v>
      </c>
      <c r="N134" s="16" t="n">
        <v>0</v>
      </c>
      <c r="O134" s="16" t="n">
        <v>0</v>
      </c>
      <c r="P134" s="16" t="b">
        <v>0</v>
      </c>
    </row>
    <row r="135">
      <c r="A135" s="16" t="inlineStr">
        <is>
          <t>SIM-EST-0219439</t>
        </is>
      </c>
      <c r="B135" s="16" t="inlineStr">
        <is>
          <t>FAB-MAO</t>
        </is>
      </c>
      <c r="C135" s="16" t="inlineStr">
        <is>
          <t>FABRICA</t>
        </is>
      </c>
      <c r="D135" s="16" t="inlineStr">
        <is>
          <t>MATERIA_PRIMA</t>
        </is>
      </c>
      <c r="E135" s="16" t="inlineStr">
        <is>
          <t>OURO</t>
        </is>
      </c>
      <c r="F135" s="16" t="inlineStr">
        <is>
          <t>MP-OUR-00707</t>
        </is>
      </c>
      <c r="G135" s="16" t="n">
        <v>2431.25</v>
      </c>
      <c r="H135" s="16" t="n">
        <v>355.61</v>
      </c>
      <c r="I135" s="16" t="n">
        <v>864576.8100000001</v>
      </c>
      <c r="J135" s="16" t="n">
        <v>630149567.49</v>
      </c>
      <c r="K135" s="16" t="n">
        <v>2431.25</v>
      </c>
      <c r="L135" s="16" t="n">
        <v>355.61</v>
      </c>
      <c r="M135" s="16" t="n">
        <v>864576.8100000001</v>
      </c>
      <c r="N135" s="16" t="n">
        <v>0</v>
      </c>
      <c r="O135" s="16" t="n">
        <v>0</v>
      </c>
      <c r="P135" s="16" t="b">
        <v>0</v>
      </c>
    </row>
    <row r="136">
      <c r="A136" s="16" t="inlineStr">
        <is>
          <t>SIM-EST-0220888</t>
        </is>
      </c>
      <c r="B136" s="16" t="inlineStr">
        <is>
          <t>LJV038</t>
        </is>
      </c>
      <c r="C136" s="16" t="inlineStr">
        <is>
          <t>LOJA_VIVARA</t>
        </is>
      </c>
      <c r="D136" s="16" t="inlineStr">
        <is>
          <t>PRODUTO_ACABADO</t>
        </is>
      </c>
      <c r="E136" s="16" t="inlineStr">
        <is>
          <t>JOIAS</t>
        </is>
      </c>
      <c r="F136" s="16" t="inlineStr">
        <is>
          <t>JOI-00595</t>
        </is>
      </c>
      <c r="G136" s="16" t="n">
        <v>2</v>
      </c>
      <c r="H136" s="16" t="n">
        <v>3876.14</v>
      </c>
      <c r="I136" s="16" t="n">
        <v>7752.28</v>
      </c>
      <c r="J136" s="16" t="n">
        <v>635014556.83</v>
      </c>
      <c r="K136" s="16" t="n">
        <v>2</v>
      </c>
      <c r="L136" s="16" t="n">
        <v>3876.14</v>
      </c>
      <c r="M136" s="16" t="n">
        <v>7752.28</v>
      </c>
      <c r="N136" s="16" t="n">
        <v>0</v>
      </c>
      <c r="O136" s="16" t="n">
        <v>0</v>
      </c>
      <c r="P136" s="16" t="b">
        <v>0</v>
      </c>
    </row>
    <row r="137">
      <c r="A137" s="16" t="inlineStr">
        <is>
          <t>SIM-EST-0222193</t>
        </is>
      </c>
      <c r="B137" s="16" t="inlineStr">
        <is>
          <t>LJL102</t>
        </is>
      </c>
      <c r="C137" s="16" t="inlineStr">
        <is>
          <t>LOJA_LIFE</t>
        </is>
      </c>
      <c r="D137" s="16" t="inlineStr">
        <is>
          <t>MAT_CONSUMO_EMBALAGEM</t>
        </is>
      </c>
      <c r="E137" s="16" t="inlineStr">
        <is>
          <t>MATERIAL_CONSUMO</t>
        </is>
      </c>
      <c r="F137" s="16" t="inlineStr">
        <is>
          <t>EMB-00566</t>
        </is>
      </c>
      <c r="G137" s="16" t="n">
        <v>718</v>
      </c>
      <c r="H137" s="16" t="n">
        <v>44.72</v>
      </c>
      <c r="I137" s="16" t="n">
        <v>32108.96</v>
      </c>
      <c r="J137" s="16" t="n">
        <v>639879546.1799999</v>
      </c>
      <c r="K137" s="16" t="n">
        <v>718</v>
      </c>
      <c r="L137" s="16" t="n">
        <v>44.72</v>
      </c>
      <c r="M137" s="16" t="n">
        <v>32108.96</v>
      </c>
      <c r="N137" s="16" t="n">
        <v>0</v>
      </c>
      <c r="O137" s="16" t="n">
        <v>0</v>
      </c>
      <c r="P137" s="16" t="b">
        <v>0</v>
      </c>
    </row>
    <row r="138">
      <c r="A138" s="16" t="inlineStr">
        <is>
          <t>SIM-EST-0223577</t>
        </is>
      </c>
      <c r="B138" s="16" t="inlineStr">
        <is>
          <t>FAB-MAO</t>
        </is>
      </c>
      <c r="C138" s="16" t="inlineStr">
        <is>
          <t>FABRICA</t>
        </is>
      </c>
      <c r="D138" s="16" t="inlineStr">
        <is>
          <t>MATERIA_PRIMA</t>
        </is>
      </c>
      <c r="E138" s="16" t="inlineStr">
        <is>
          <t>OURO</t>
        </is>
      </c>
      <c r="F138" s="16" t="inlineStr">
        <is>
          <t>MP-OUR-00494</t>
        </is>
      </c>
      <c r="G138" s="16" t="n">
        <v>1248.94</v>
      </c>
      <c r="H138" s="16" t="n">
        <v>367.77</v>
      </c>
      <c r="I138" s="16" t="n">
        <v>459322.66</v>
      </c>
      <c r="J138" s="16" t="n">
        <v>644744535.52</v>
      </c>
      <c r="K138" s="16" t="n">
        <v>1248.94</v>
      </c>
      <c r="L138" s="16" t="n">
        <v>367.77</v>
      </c>
      <c r="M138" s="16" t="n">
        <v>459322.66</v>
      </c>
      <c r="N138" s="16" t="n">
        <v>0</v>
      </c>
      <c r="O138" s="16" t="n">
        <v>0</v>
      </c>
      <c r="P138" s="16" t="b">
        <v>0</v>
      </c>
    </row>
    <row r="139">
      <c r="A139" s="16" t="inlineStr">
        <is>
          <t>SIM-EST-0225217</t>
        </is>
      </c>
      <c r="B139" s="16" t="inlineStr">
        <is>
          <t>LJV014</t>
        </is>
      </c>
      <c r="C139" s="16" t="inlineStr">
        <is>
          <t>LOJA_VIVARA</t>
        </is>
      </c>
      <c r="D139" s="16" t="inlineStr">
        <is>
          <t>PRODUTO_ACABADO</t>
        </is>
      </c>
      <c r="E139" s="16" t="inlineStr">
        <is>
          <t>JOIAS</t>
        </is>
      </c>
      <c r="F139" s="16" t="inlineStr">
        <is>
          <t>JOI-09632</t>
        </is>
      </c>
      <c r="G139" s="16" t="n">
        <v>5</v>
      </c>
      <c r="H139" s="16" t="n">
        <v>3705.49</v>
      </c>
      <c r="I139" s="16" t="n">
        <v>18527.45</v>
      </c>
      <c r="J139" s="16" t="n">
        <v>649609524.87</v>
      </c>
      <c r="K139" s="16" t="n">
        <v>5</v>
      </c>
      <c r="L139" s="16" t="n">
        <v>3705.49</v>
      </c>
      <c r="M139" s="16" t="n">
        <v>18527.45</v>
      </c>
      <c r="N139" s="16" t="n">
        <v>0</v>
      </c>
      <c r="O139" s="16" t="n">
        <v>0</v>
      </c>
      <c r="P139" s="16" t="b">
        <v>0</v>
      </c>
    </row>
    <row r="140">
      <c r="A140" s="16" t="inlineStr">
        <is>
          <t>SIM-EST-0226850</t>
        </is>
      </c>
      <c r="B140" s="16" t="inlineStr">
        <is>
          <t>LJV183</t>
        </is>
      </c>
      <c r="C140" s="16" t="inlineStr">
        <is>
          <t>LOJA_VIVARA</t>
        </is>
      </c>
      <c r="D140" s="16" t="inlineStr">
        <is>
          <t>PRODUTO_ACABADO</t>
        </is>
      </c>
      <c r="E140" s="16" t="inlineStr">
        <is>
          <t>RELOGIOS</t>
        </is>
      </c>
      <c r="F140" s="16" t="inlineStr">
        <is>
          <t>REL-03513</t>
        </is>
      </c>
      <c r="G140" s="16" t="n">
        <v>3</v>
      </c>
      <c r="H140" s="16" t="n">
        <v>472.23</v>
      </c>
      <c r="I140" s="16" t="n">
        <v>1416.69</v>
      </c>
      <c r="J140" s="16" t="n">
        <v>654474514.21</v>
      </c>
      <c r="K140" s="16" t="n">
        <v>3</v>
      </c>
      <c r="L140" s="16" t="n">
        <v>472.23</v>
      </c>
      <c r="M140" s="16" t="n">
        <v>1416.69</v>
      </c>
      <c r="N140" s="16" t="n">
        <v>0</v>
      </c>
      <c r="O140" s="16" t="n">
        <v>0</v>
      </c>
      <c r="P140" s="16" t="b">
        <v>0</v>
      </c>
    </row>
    <row r="141">
      <c r="A141" s="16" t="inlineStr">
        <is>
          <t>SIM-EST-0228896</t>
        </is>
      </c>
      <c r="B141" s="16" t="inlineStr">
        <is>
          <t>FAB-MAO</t>
        </is>
      </c>
      <c r="C141" s="16" t="inlineStr">
        <is>
          <t>FABRICA</t>
        </is>
      </c>
      <c r="D141" s="16" t="inlineStr">
        <is>
          <t>MATERIA_PRIMA</t>
        </is>
      </c>
      <c r="E141" s="16" t="inlineStr">
        <is>
          <t>DIAMANTES</t>
        </is>
      </c>
      <c r="F141" s="16" t="inlineStr">
        <is>
          <t>MP-DIA-01771</t>
        </is>
      </c>
      <c r="G141" s="16" t="n">
        <v>186.94</v>
      </c>
      <c r="H141" s="16" t="n">
        <v>1522.78</v>
      </c>
      <c r="I141" s="16" t="n">
        <v>284668.49</v>
      </c>
      <c r="J141" s="16" t="n">
        <v>659339503.5599999</v>
      </c>
      <c r="K141" s="16" t="n">
        <v>186.94</v>
      </c>
      <c r="L141" s="16" t="n">
        <v>1522.78</v>
      </c>
      <c r="M141" s="16" t="n">
        <v>284668.49</v>
      </c>
      <c r="N141" s="16" t="n">
        <v>0</v>
      </c>
      <c r="O141" s="16" t="n">
        <v>0</v>
      </c>
      <c r="P141" s="16" t="b">
        <v>0</v>
      </c>
    </row>
    <row r="142">
      <c r="A142" s="16" t="inlineStr">
        <is>
          <t>SIM-EST-0230754</t>
        </is>
      </c>
      <c r="B142" s="16" t="inlineStr">
        <is>
          <t>LJL185</t>
        </is>
      </c>
      <c r="C142" s="16" t="inlineStr">
        <is>
          <t>LOJA_LIFE</t>
        </is>
      </c>
      <c r="D142" s="16" t="inlineStr">
        <is>
          <t>MAT_CONSUMO_EMBALAGEM</t>
        </is>
      </c>
      <c r="E142" s="16" t="inlineStr">
        <is>
          <t>MATERIAL_CONSUMO</t>
        </is>
      </c>
      <c r="F142" s="16" t="inlineStr">
        <is>
          <t>EMB-00752</t>
        </is>
      </c>
      <c r="G142" s="16" t="n">
        <v>520</v>
      </c>
      <c r="H142" s="16" t="n">
        <v>114.63</v>
      </c>
      <c r="I142" s="16" t="n">
        <v>59607.6</v>
      </c>
      <c r="J142" s="16" t="n">
        <v>664204492.9</v>
      </c>
      <c r="K142" s="16" t="n">
        <v>520</v>
      </c>
      <c r="L142" s="16" t="n">
        <v>114.63</v>
      </c>
      <c r="M142" s="16" t="n">
        <v>59607.6</v>
      </c>
      <c r="N142" s="16" t="n">
        <v>0</v>
      </c>
      <c r="O142" s="16" t="n">
        <v>0</v>
      </c>
      <c r="P142" s="16" t="b">
        <v>0</v>
      </c>
    </row>
    <row r="143">
      <c r="A143" s="16" t="inlineStr">
        <is>
          <t>SIM-EST-0232880</t>
        </is>
      </c>
      <c r="B143" s="16" t="inlineStr">
        <is>
          <t>FAB-MAO</t>
        </is>
      </c>
      <c r="C143" s="16" t="inlineStr">
        <is>
          <t>FABRICA</t>
        </is>
      </c>
      <c r="D143" s="16" t="inlineStr">
        <is>
          <t>MATERIA_PRIMA</t>
        </is>
      </c>
      <c r="E143" s="16" t="inlineStr">
        <is>
          <t>OURO</t>
        </is>
      </c>
      <c r="F143" s="16" t="inlineStr">
        <is>
          <t>MP-OUR-00180</t>
        </is>
      </c>
      <c r="G143" s="16" t="n">
        <v>732.98</v>
      </c>
      <c r="H143" s="16" t="n">
        <v>349.08</v>
      </c>
      <c r="I143" s="16" t="n">
        <v>255868.66</v>
      </c>
      <c r="J143" s="16" t="n">
        <v>669069482.25</v>
      </c>
      <c r="K143" s="16" t="n">
        <v>732.98</v>
      </c>
      <c r="L143" s="16" t="n">
        <v>349.08</v>
      </c>
      <c r="M143" s="16" t="n">
        <v>255868.66</v>
      </c>
      <c r="N143" s="16" t="n">
        <v>0</v>
      </c>
      <c r="O143" s="16" t="n">
        <v>0</v>
      </c>
      <c r="P143" s="16" t="b">
        <v>0</v>
      </c>
    </row>
    <row r="144">
      <c r="A144" s="16" t="inlineStr">
        <is>
          <t>SIM-EST-0234601</t>
        </is>
      </c>
      <c r="B144" s="16" t="inlineStr">
        <is>
          <t>FAB-MAO</t>
        </is>
      </c>
      <c r="C144" s="16" t="inlineStr">
        <is>
          <t>FABRICA</t>
        </is>
      </c>
      <c r="D144" s="16" t="inlineStr">
        <is>
          <t>MATERIA_PRIMA</t>
        </is>
      </c>
      <c r="E144" s="16" t="inlineStr">
        <is>
          <t>PRATA</t>
        </is>
      </c>
      <c r="F144" s="16" t="inlineStr">
        <is>
          <t>MP-PRA-00321</t>
        </is>
      </c>
      <c r="G144" s="16" t="n">
        <v>19407.95</v>
      </c>
      <c r="H144" s="16" t="n">
        <v>5.16</v>
      </c>
      <c r="I144" s="16" t="n">
        <v>100145.02</v>
      </c>
      <c r="J144" s="16" t="n">
        <v>673934471.59</v>
      </c>
      <c r="K144" s="16" t="n">
        <v>19407.95</v>
      </c>
      <c r="L144" s="16" t="n">
        <v>5.16</v>
      </c>
      <c r="M144" s="16" t="n">
        <v>100145.02</v>
      </c>
      <c r="N144" s="16" t="n">
        <v>0</v>
      </c>
      <c r="O144" s="16" t="n">
        <v>0</v>
      </c>
      <c r="P144" s="16" t="b">
        <v>0</v>
      </c>
    </row>
    <row r="145">
      <c r="A145" s="16" t="inlineStr">
        <is>
          <t>SIM-EST-0236669</t>
        </is>
      </c>
      <c r="B145" s="16" t="inlineStr">
        <is>
          <t>LJV196</t>
        </is>
      </c>
      <c r="C145" s="16" t="inlineStr">
        <is>
          <t>LOJA_VIVARA</t>
        </is>
      </c>
      <c r="D145" s="16" t="inlineStr">
        <is>
          <t>PRODUTO_ACABADO</t>
        </is>
      </c>
      <c r="E145" s="16" t="inlineStr">
        <is>
          <t>RELOGIOS</t>
        </is>
      </c>
      <c r="F145" s="16" t="inlineStr">
        <is>
          <t>REL-01447</t>
        </is>
      </c>
      <c r="G145" s="16" t="n">
        <v>4</v>
      </c>
      <c r="H145" s="16" t="n">
        <v>677.72</v>
      </c>
      <c r="I145" s="16" t="n">
        <v>2710.88</v>
      </c>
      <c r="J145" s="16" t="n">
        <v>678799460.9400001</v>
      </c>
      <c r="K145" s="16" t="n">
        <v>4</v>
      </c>
      <c r="L145" s="16" t="n">
        <v>677.72</v>
      </c>
      <c r="M145" s="16" t="n">
        <v>2710.88</v>
      </c>
      <c r="N145" s="16" t="n">
        <v>0</v>
      </c>
      <c r="O145" s="16" t="n">
        <v>0</v>
      </c>
      <c r="P145" s="16" t="b">
        <v>0</v>
      </c>
    </row>
    <row r="146">
      <c r="A146" s="16" t="inlineStr">
        <is>
          <t>SIM-EST-0237952</t>
        </is>
      </c>
      <c r="B146" s="16" t="inlineStr">
        <is>
          <t>LJV236</t>
        </is>
      </c>
      <c r="C146" s="16" t="inlineStr">
        <is>
          <t>LOJA_VIVARA</t>
        </is>
      </c>
      <c r="D146" s="16" t="inlineStr">
        <is>
          <t>PRODUTO_ACABADO</t>
        </is>
      </c>
      <c r="E146" s="16" t="inlineStr">
        <is>
          <t>RELOGIOS</t>
        </is>
      </c>
      <c r="F146" s="16" t="inlineStr">
        <is>
          <t>REL-03880</t>
        </is>
      </c>
      <c r="G146" s="16" t="n">
        <v>6</v>
      </c>
      <c r="H146" s="16" t="n">
        <v>530.6</v>
      </c>
      <c r="I146" s="16" t="n">
        <v>3183.6</v>
      </c>
      <c r="J146" s="16" t="n">
        <v>683664450.28</v>
      </c>
      <c r="K146" s="16" t="n">
        <v>6</v>
      </c>
      <c r="L146" s="16" t="n">
        <v>530.6</v>
      </c>
      <c r="M146" s="16" t="n">
        <v>3183.6</v>
      </c>
      <c r="N146" s="16" t="n">
        <v>0</v>
      </c>
      <c r="O146" s="16" t="n">
        <v>0</v>
      </c>
      <c r="P146" s="16" t="b">
        <v>0</v>
      </c>
    </row>
    <row r="147">
      <c r="A147" s="16" t="inlineStr">
        <is>
          <t>SIM-EST-0239615</t>
        </is>
      </c>
      <c r="B147" s="16" t="inlineStr">
        <is>
          <t>CD03</t>
        </is>
      </c>
      <c r="C147" s="16" t="inlineStr">
        <is>
          <t>CENTRO_DISTRIBUICAO</t>
        </is>
      </c>
      <c r="D147" s="16" t="inlineStr">
        <is>
          <t>PRODUTO_ACABADO</t>
        </is>
      </c>
      <c r="E147" s="16" t="inlineStr">
        <is>
          <t>JOIAS</t>
        </is>
      </c>
      <c r="F147" s="16" t="inlineStr">
        <is>
          <t>JOI-10826</t>
        </is>
      </c>
      <c r="G147" s="16" t="n">
        <v>93</v>
      </c>
      <c r="H147" s="16" t="n">
        <v>1054.61</v>
      </c>
      <c r="I147" s="16" t="n">
        <v>98078.73</v>
      </c>
      <c r="J147" s="16" t="n">
        <v>688529439.63</v>
      </c>
      <c r="K147" s="16" t="n">
        <v>93</v>
      </c>
      <c r="L147" s="16" t="n">
        <v>1054.61</v>
      </c>
      <c r="M147" s="16" t="n">
        <v>98078.73</v>
      </c>
      <c r="N147" s="16" t="n">
        <v>0</v>
      </c>
      <c r="O147" s="16" t="n">
        <v>0</v>
      </c>
      <c r="P147" s="16" t="b">
        <v>0</v>
      </c>
    </row>
    <row r="148">
      <c r="A148" s="16" t="inlineStr">
        <is>
          <t>SIM-EST-0241954</t>
        </is>
      </c>
      <c r="B148" s="16" t="inlineStr">
        <is>
          <t>LJV182</t>
        </is>
      </c>
      <c r="C148" s="16" t="inlineStr">
        <is>
          <t>LOJA_VIVARA</t>
        </is>
      </c>
      <c r="D148" s="16" t="inlineStr">
        <is>
          <t>PRODUTO_ACABADO</t>
        </is>
      </c>
      <c r="E148" s="16" t="inlineStr">
        <is>
          <t>LIFE</t>
        </is>
      </c>
      <c r="F148" s="16" t="inlineStr">
        <is>
          <t>LIF-03415</t>
        </is>
      </c>
      <c r="G148" s="16" t="n">
        <v>3</v>
      </c>
      <c r="H148" s="16" t="n">
        <v>102.49</v>
      </c>
      <c r="I148" s="16" t="n">
        <v>307.47</v>
      </c>
      <c r="J148" s="16" t="n">
        <v>693394428.97</v>
      </c>
      <c r="K148" s="16" t="n">
        <v>3</v>
      </c>
      <c r="L148" s="16" t="n">
        <v>102.49</v>
      </c>
      <c r="M148" s="16" t="n">
        <v>307.47</v>
      </c>
      <c r="N148" s="16" t="n">
        <v>0</v>
      </c>
      <c r="O148" s="16" t="n">
        <v>0</v>
      </c>
      <c r="P148" s="16" t="b">
        <v>0</v>
      </c>
    </row>
    <row r="149">
      <c r="A149" s="16" t="inlineStr">
        <is>
          <t>SIM-EST-0243898</t>
        </is>
      </c>
      <c r="B149" s="16" t="inlineStr">
        <is>
          <t>LJV075</t>
        </is>
      </c>
      <c r="C149" s="16" t="inlineStr">
        <is>
          <t>LOJA_VIVARA</t>
        </is>
      </c>
      <c r="D149" s="16" t="inlineStr">
        <is>
          <t>PRODUTO_ACABADO</t>
        </is>
      </c>
      <c r="E149" s="16" t="inlineStr">
        <is>
          <t>JOIAS</t>
        </is>
      </c>
      <c r="F149" s="16" t="inlineStr">
        <is>
          <t>JOI-00894</t>
        </is>
      </c>
      <c r="G149" s="16" t="n">
        <v>3</v>
      </c>
      <c r="H149" s="16" t="n">
        <v>868.87</v>
      </c>
      <c r="I149" s="16" t="n">
        <v>2606.61</v>
      </c>
      <c r="J149" s="16" t="n">
        <v>698259418.3200001</v>
      </c>
      <c r="K149" s="16" t="n">
        <v>3</v>
      </c>
      <c r="L149" s="16" t="n">
        <v>868.87</v>
      </c>
      <c r="M149" s="16" t="n">
        <v>2606.61</v>
      </c>
      <c r="N149" s="16" t="n">
        <v>0</v>
      </c>
      <c r="O149" s="16" t="n">
        <v>0</v>
      </c>
      <c r="P149" s="16" t="b">
        <v>0</v>
      </c>
    </row>
    <row r="150">
      <c r="A150" s="16" t="inlineStr">
        <is>
          <t>SIM-EST-0245561</t>
        </is>
      </c>
      <c r="B150" s="16" t="inlineStr">
        <is>
          <t>CD01</t>
        </is>
      </c>
      <c r="C150" s="16" t="inlineStr">
        <is>
          <t>CENTRO_DISTRIBUICAO</t>
        </is>
      </c>
      <c r="D150" s="16" t="inlineStr">
        <is>
          <t>PRODUTO_ACABADO</t>
        </is>
      </c>
      <c r="E150" s="16" t="inlineStr">
        <is>
          <t>JOIAS</t>
        </is>
      </c>
      <c r="F150" s="16" t="inlineStr">
        <is>
          <t>JOI-07873</t>
        </is>
      </c>
      <c r="G150" s="16" t="n">
        <v>11</v>
      </c>
      <c r="H150" s="16" t="n">
        <v>278.69</v>
      </c>
      <c r="I150" s="16" t="n">
        <v>3065.59</v>
      </c>
      <c r="J150" s="16" t="n">
        <v>703124407.66</v>
      </c>
      <c r="K150" s="16" t="n">
        <v>11</v>
      </c>
      <c r="L150" s="16" t="n">
        <v>278.69</v>
      </c>
      <c r="M150" s="16" t="n">
        <v>3065.59</v>
      </c>
      <c r="N150" s="16" t="n">
        <v>0</v>
      </c>
      <c r="O150" s="16" t="n">
        <v>0</v>
      </c>
      <c r="P150" s="16" t="b">
        <v>0</v>
      </c>
    </row>
    <row r="151">
      <c r="A151" s="16" t="inlineStr">
        <is>
          <t>SIM-EST-0246941</t>
        </is>
      </c>
      <c r="B151" s="16" t="inlineStr">
        <is>
          <t>FIL-SP</t>
        </is>
      </c>
      <c r="C151" s="16" t="inlineStr">
        <is>
          <t>FILIAL_COMPRAS</t>
        </is>
      </c>
      <c r="D151" s="16" t="inlineStr">
        <is>
          <t>MATERIA_PRIMA</t>
        </is>
      </c>
      <c r="E151" s="16" t="inlineStr">
        <is>
          <t>OURO</t>
        </is>
      </c>
      <c r="F151" s="16" t="inlineStr">
        <is>
          <t>MP-OUR-00418</t>
        </is>
      </c>
      <c r="G151" s="16" t="n">
        <v>164.29</v>
      </c>
      <c r="H151" s="16" t="n">
        <v>357.28</v>
      </c>
      <c r="I151" s="16" t="n">
        <v>58697.53</v>
      </c>
      <c r="J151" s="16" t="n">
        <v>707989397</v>
      </c>
      <c r="K151" s="16" t="n">
        <v>164.29</v>
      </c>
      <c r="L151" s="16" t="n">
        <v>357.28</v>
      </c>
      <c r="M151" s="16" t="n">
        <v>58697.53</v>
      </c>
      <c r="N151" s="16" t="n">
        <v>0</v>
      </c>
      <c r="O151" s="16" t="n">
        <v>0</v>
      </c>
      <c r="P151" s="16" t="b">
        <v>0</v>
      </c>
    </row>
    <row r="152">
      <c r="A152" s="16" t="inlineStr">
        <is>
          <t>SIM-EST-0248843</t>
        </is>
      </c>
      <c r="B152" s="16" t="inlineStr">
        <is>
          <t>CD01</t>
        </is>
      </c>
      <c r="C152" s="16" t="inlineStr">
        <is>
          <t>CENTRO_DISTRIBUICAO</t>
        </is>
      </c>
      <c r="D152" s="16" t="inlineStr">
        <is>
          <t>PRODUTO_ACABADO</t>
        </is>
      </c>
      <c r="E152" s="16" t="inlineStr">
        <is>
          <t>JOIAS</t>
        </is>
      </c>
      <c r="F152" s="16" t="inlineStr">
        <is>
          <t>JOI-10079</t>
        </is>
      </c>
      <c r="G152" s="16" t="n">
        <v>35</v>
      </c>
      <c r="H152" s="16" t="n">
        <v>574</v>
      </c>
      <c r="I152" s="16" t="n">
        <v>20090</v>
      </c>
      <c r="J152" s="16" t="n">
        <v>712854386.35</v>
      </c>
      <c r="K152" s="16" t="n">
        <v>35</v>
      </c>
      <c r="L152" s="16" t="n">
        <v>574</v>
      </c>
      <c r="M152" s="16" t="n">
        <v>20090</v>
      </c>
      <c r="N152" s="16" t="n">
        <v>0</v>
      </c>
      <c r="O152" s="16" t="n">
        <v>0</v>
      </c>
      <c r="P152" s="16" t="b">
        <v>0</v>
      </c>
    </row>
    <row r="153">
      <c r="A153" s="16" t="inlineStr">
        <is>
          <t>SIM-EST-0250674</t>
        </is>
      </c>
      <c r="B153" s="16" t="inlineStr">
        <is>
          <t>LJV213</t>
        </is>
      </c>
      <c r="C153" s="16" t="inlineStr">
        <is>
          <t>LOJA_VIVARA</t>
        </is>
      </c>
      <c r="D153" s="16" t="inlineStr">
        <is>
          <t>PRODUTO_ACABADO</t>
        </is>
      </c>
      <c r="E153" s="16" t="inlineStr">
        <is>
          <t>JOIAS</t>
        </is>
      </c>
      <c r="F153" s="16" t="inlineStr">
        <is>
          <t>JOI-09557</t>
        </is>
      </c>
      <c r="G153" s="16" t="n">
        <v>3</v>
      </c>
      <c r="H153" s="16" t="n">
        <v>1303.37</v>
      </c>
      <c r="I153" s="16" t="n">
        <v>3910.11</v>
      </c>
      <c r="J153" s="16" t="n">
        <v>717719375.6900001</v>
      </c>
      <c r="K153" s="16" t="n">
        <v>3</v>
      </c>
      <c r="L153" s="16" t="n">
        <v>1303.37</v>
      </c>
      <c r="M153" s="16" t="n">
        <v>3910.11</v>
      </c>
      <c r="N153" s="16" t="n">
        <v>0</v>
      </c>
      <c r="O153" s="16" t="n">
        <v>0</v>
      </c>
      <c r="P153" s="16" t="b">
        <v>0</v>
      </c>
    </row>
    <row r="154">
      <c r="A154" s="16" t="inlineStr">
        <is>
          <t>SIM-EST-0252634</t>
        </is>
      </c>
      <c r="B154" s="16" t="inlineStr">
        <is>
          <t>FAB-MAO</t>
        </is>
      </c>
      <c r="C154" s="16" t="inlineStr">
        <is>
          <t>FABRICA</t>
        </is>
      </c>
      <c r="D154" s="16" t="inlineStr">
        <is>
          <t>MATERIA_PRIMA</t>
        </is>
      </c>
      <c r="E154" s="16" t="inlineStr">
        <is>
          <t>COMPONENTES_RELOGIO</t>
        </is>
      </c>
      <c r="F154" s="16" t="inlineStr">
        <is>
          <t>MP-COM-01227</t>
        </is>
      </c>
      <c r="G154" s="16" t="n">
        <v>388</v>
      </c>
      <c r="H154" s="16" t="n">
        <v>63.76</v>
      </c>
      <c r="I154" s="16" t="n">
        <v>24738.88</v>
      </c>
      <c r="J154" s="16" t="n">
        <v>722584365.04</v>
      </c>
      <c r="K154" s="16" t="n">
        <v>388</v>
      </c>
      <c r="L154" s="16" t="n">
        <v>63.76</v>
      </c>
      <c r="M154" s="16" t="n">
        <v>24738.88</v>
      </c>
      <c r="N154" s="16" t="n">
        <v>0</v>
      </c>
      <c r="O154" s="16" t="n">
        <v>0</v>
      </c>
      <c r="P154" s="16" t="b">
        <v>0</v>
      </c>
    </row>
    <row r="155">
      <c r="A155" s="16" t="inlineStr">
        <is>
          <t>SIM-EST-0254540</t>
        </is>
      </c>
      <c r="B155" s="16" t="inlineStr">
        <is>
          <t>LJL004</t>
        </is>
      </c>
      <c r="C155" s="16" t="inlineStr">
        <is>
          <t>LOJA_LIFE</t>
        </is>
      </c>
      <c r="D155" s="16" t="inlineStr">
        <is>
          <t>PRODUTO_ACABADO</t>
        </is>
      </c>
      <c r="E155" s="16" t="inlineStr">
        <is>
          <t>LIFE</t>
        </is>
      </c>
      <c r="F155" s="16" t="inlineStr">
        <is>
          <t>LIF-06900</t>
        </is>
      </c>
      <c r="G155" s="16" t="n">
        <v>1</v>
      </c>
      <c r="H155" s="16" t="n">
        <v>80.34</v>
      </c>
      <c r="I155" s="16" t="n">
        <v>80.34</v>
      </c>
      <c r="J155" s="16" t="n">
        <v>727449354.38</v>
      </c>
      <c r="K155" s="16" t="n">
        <v>1</v>
      </c>
      <c r="L155" s="16" t="n">
        <v>80.34</v>
      </c>
      <c r="M155" s="16" t="n">
        <v>80.34</v>
      </c>
      <c r="N155" s="16" t="n">
        <v>0</v>
      </c>
      <c r="O155" s="16" t="n">
        <v>0</v>
      </c>
      <c r="P155" s="16" t="b">
        <v>0</v>
      </c>
    </row>
    <row r="156">
      <c r="A156" s="16" t="inlineStr">
        <is>
          <t>SIM-EST-0256044</t>
        </is>
      </c>
      <c r="B156" s="16" t="inlineStr">
        <is>
          <t>QSQ002</t>
        </is>
      </c>
      <c r="C156" s="16" t="inlineStr">
        <is>
          <t>QUIOSQUE</t>
        </is>
      </c>
      <c r="D156" s="16" t="inlineStr">
        <is>
          <t>PRODUTO_ACABADO</t>
        </is>
      </c>
      <c r="E156" s="16" t="inlineStr">
        <is>
          <t>LIFE</t>
        </is>
      </c>
      <c r="F156" s="16" t="inlineStr">
        <is>
          <t>LIF-04335</t>
        </is>
      </c>
      <c r="G156" s="16" t="n">
        <v>2</v>
      </c>
      <c r="H156" s="16" t="n">
        <v>31.16</v>
      </c>
      <c r="I156" s="16" t="n">
        <v>62.32</v>
      </c>
      <c r="J156" s="16" t="n">
        <v>732314343.73</v>
      </c>
      <c r="K156" s="16" t="n">
        <v>2</v>
      </c>
      <c r="L156" s="16" t="n">
        <v>31.16</v>
      </c>
      <c r="M156" s="16" t="n">
        <v>62.32</v>
      </c>
      <c r="N156" s="16" t="n">
        <v>0</v>
      </c>
      <c r="O156" s="16" t="n">
        <v>0</v>
      </c>
      <c r="P156" s="16" t="b">
        <v>0</v>
      </c>
    </row>
    <row r="157">
      <c r="A157" s="16" t="inlineStr">
        <is>
          <t>SIM-EST-0257758</t>
        </is>
      </c>
      <c r="B157" s="16" t="inlineStr">
        <is>
          <t>CD03</t>
        </is>
      </c>
      <c r="C157" s="16" t="inlineStr">
        <is>
          <t>CENTRO_DISTRIBUICAO</t>
        </is>
      </c>
      <c r="D157" s="16" t="inlineStr">
        <is>
          <t>PRODUTO_ACABADO</t>
        </is>
      </c>
      <c r="E157" s="16" t="inlineStr">
        <is>
          <t>RELOGIOS</t>
        </is>
      </c>
      <c r="F157" s="16" t="inlineStr">
        <is>
          <t>REL-03465</t>
        </is>
      </c>
      <c r="G157" s="16" t="n">
        <v>28</v>
      </c>
      <c r="H157" s="16" t="n">
        <v>428.99</v>
      </c>
      <c r="I157" s="16" t="n">
        <v>12011.72</v>
      </c>
      <c r="J157" s="16" t="n">
        <v>737179333.0700001</v>
      </c>
      <c r="K157" s="16" t="n">
        <v>28</v>
      </c>
      <c r="L157" s="16" t="n">
        <v>428.99</v>
      </c>
      <c r="M157" s="16" t="n">
        <v>12011.72</v>
      </c>
      <c r="N157" s="16" t="n">
        <v>0</v>
      </c>
      <c r="O157" s="16" t="n">
        <v>0</v>
      </c>
      <c r="P157" s="16" t="b">
        <v>0</v>
      </c>
    </row>
    <row r="158">
      <c r="A158" s="16" t="inlineStr">
        <is>
          <t>SIM-EST-0259184</t>
        </is>
      </c>
      <c r="B158" s="16" t="inlineStr">
        <is>
          <t>LJV145</t>
        </is>
      </c>
      <c r="C158" s="16" t="inlineStr">
        <is>
          <t>LOJA_VIVARA</t>
        </is>
      </c>
      <c r="D158" s="16" t="inlineStr">
        <is>
          <t>PRODUTO_ACABADO</t>
        </is>
      </c>
      <c r="E158" s="16" t="inlineStr">
        <is>
          <t>RELOGIOS</t>
        </is>
      </c>
      <c r="F158" s="16" t="inlineStr">
        <is>
          <t>REL-01340</t>
        </is>
      </c>
      <c r="G158" s="16" t="n">
        <v>4</v>
      </c>
      <c r="H158" s="16" t="n">
        <v>1091.29</v>
      </c>
      <c r="I158" s="16" t="n">
        <v>4365.16</v>
      </c>
      <c r="J158" s="16" t="n">
        <v>742044322.42</v>
      </c>
      <c r="K158" s="16" t="n">
        <v>4</v>
      </c>
      <c r="L158" s="16" t="n">
        <v>1091.29</v>
      </c>
      <c r="M158" s="16" t="n">
        <v>4365.16</v>
      </c>
      <c r="N158" s="16" t="n">
        <v>0</v>
      </c>
      <c r="O158" s="16" t="n">
        <v>0</v>
      </c>
      <c r="P158" s="16" t="b">
        <v>0</v>
      </c>
    </row>
    <row r="159">
      <c r="A159" s="16" t="inlineStr">
        <is>
          <t>SIM-EST-0260849</t>
        </is>
      </c>
      <c r="B159" s="16" t="inlineStr">
        <is>
          <t>CD03</t>
        </is>
      </c>
      <c r="C159" s="16" t="inlineStr">
        <is>
          <t>CENTRO_DISTRIBUICAO</t>
        </is>
      </c>
      <c r="D159" s="16" t="inlineStr">
        <is>
          <t>PRODUTO_ACABADO</t>
        </is>
      </c>
      <c r="E159" s="16" t="inlineStr">
        <is>
          <t>JOIAS</t>
        </is>
      </c>
      <c r="F159" s="16" t="inlineStr">
        <is>
          <t>JOI-05495</t>
        </is>
      </c>
      <c r="G159" s="16" t="n">
        <v>29</v>
      </c>
      <c r="H159" s="16" t="n">
        <v>1053.74</v>
      </c>
      <c r="I159" s="16" t="n">
        <v>30558.46</v>
      </c>
      <c r="J159" s="16" t="n">
        <v>746909311.76</v>
      </c>
      <c r="K159" s="16" t="n">
        <v>29</v>
      </c>
      <c r="L159" s="16" t="n">
        <v>1053.74</v>
      </c>
      <c r="M159" s="16" t="n">
        <v>30558.46</v>
      </c>
      <c r="N159" s="16" t="n">
        <v>0</v>
      </c>
      <c r="O159" s="16" t="n">
        <v>0</v>
      </c>
      <c r="P159" s="16" t="b">
        <v>0</v>
      </c>
    </row>
    <row r="160">
      <c r="A160" s="16" t="inlineStr">
        <is>
          <t>SIM-EST-0262968</t>
        </is>
      </c>
      <c r="B160" s="16" t="inlineStr">
        <is>
          <t>FAB-MAO</t>
        </is>
      </c>
      <c r="C160" s="16" t="inlineStr">
        <is>
          <t>FABRICA</t>
        </is>
      </c>
      <c r="D160" s="16" t="inlineStr">
        <is>
          <t>MATERIA_PRIMA</t>
        </is>
      </c>
      <c r="E160" s="16" t="inlineStr">
        <is>
          <t>OURO</t>
        </is>
      </c>
      <c r="F160" s="16" t="inlineStr">
        <is>
          <t>MP-OUR-00666</t>
        </is>
      </c>
      <c r="G160" s="16" t="n">
        <v>242.87</v>
      </c>
      <c r="H160" s="16" t="n">
        <v>350.87</v>
      </c>
      <c r="I160" s="16" t="n">
        <v>85215.8</v>
      </c>
      <c r="J160" s="16" t="n">
        <v>751774301.11</v>
      </c>
      <c r="K160" s="16" t="n">
        <v>242.87</v>
      </c>
      <c r="L160" s="16" t="n">
        <v>350.87</v>
      </c>
      <c r="M160" s="16" t="n">
        <v>85215.8</v>
      </c>
      <c r="N160" s="16" t="n">
        <v>0</v>
      </c>
      <c r="O160" s="16" t="n">
        <v>0</v>
      </c>
      <c r="P160" s="16" t="b">
        <v>0</v>
      </c>
    </row>
    <row r="161">
      <c r="A161" s="16" t="inlineStr">
        <is>
          <t>SIM-EST-0264783</t>
        </is>
      </c>
      <c r="B161" s="16" t="inlineStr">
        <is>
          <t>FAB-MAO</t>
        </is>
      </c>
      <c r="C161" s="16" t="inlineStr">
        <is>
          <t>FABRICA</t>
        </is>
      </c>
      <c r="D161" s="16" t="inlineStr">
        <is>
          <t>MATERIA_PRIMA</t>
        </is>
      </c>
      <c r="E161" s="16" t="inlineStr">
        <is>
          <t>DIAMANTES</t>
        </is>
      </c>
      <c r="F161" s="16" t="inlineStr">
        <is>
          <t>MP-DIA-00465</t>
        </is>
      </c>
      <c r="G161" s="16" t="n">
        <v>84.64</v>
      </c>
      <c r="H161" s="16" t="n">
        <v>3269.65</v>
      </c>
      <c r="I161" s="16" t="n">
        <v>276743.18</v>
      </c>
      <c r="J161" s="16" t="n">
        <v>756639290.45</v>
      </c>
      <c r="K161" s="16" t="n">
        <v>84.64</v>
      </c>
      <c r="L161" s="16" t="n">
        <v>3269.65</v>
      </c>
      <c r="M161" s="16" t="n">
        <v>276743.18</v>
      </c>
      <c r="N161" s="16" t="n">
        <v>0</v>
      </c>
      <c r="O161" s="16" t="n">
        <v>0</v>
      </c>
      <c r="P161" s="16" t="b">
        <v>0</v>
      </c>
    </row>
    <row r="162">
      <c r="A162" s="16" t="inlineStr">
        <is>
          <t>SIM-EST-0266378</t>
        </is>
      </c>
      <c r="B162" s="16" t="inlineStr">
        <is>
          <t>FIL-SP</t>
        </is>
      </c>
      <c r="C162" s="16" t="inlineStr">
        <is>
          <t>FILIAL_COMPRAS</t>
        </is>
      </c>
      <c r="D162" s="16" t="inlineStr">
        <is>
          <t>MATERIA_PRIMA</t>
        </is>
      </c>
      <c r="E162" s="16" t="inlineStr">
        <is>
          <t>DIAMANTES</t>
        </is>
      </c>
      <c r="F162" s="16" t="inlineStr">
        <is>
          <t>MP-DIA-00982</t>
        </is>
      </c>
      <c r="G162" s="16" t="n">
        <v>46.16</v>
      </c>
      <c r="H162" s="16" t="n">
        <v>2276.96</v>
      </c>
      <c r="I162" s="16" t="n">
        <v>105104.47</v>
      </c>
      <c r="J162" s="16" t="n">
        <v>761504279.8</v>
      </c>
      <c r="K162" s="16" t="n">
        <v>46.16</v>
      </c>
      <c r="L162" s="16" t="n">
        <v>2276.96</v>
      </c>
      <c r="M162" s="16" t="n">
        <v>105104.47</v>
      </c>
      <c r="N162" s="16" t="n">
        <v>0</v>
      </c>
      <c r="O162" s="16" t="n">
        <v>0</v>
      </c>
      <c r="P162" s="16" t="b">
        <v>0</v>
      </c>
    </row>
    <row r="163">
      <c r="A163" s="16" t="inlineStr">
        <is>
          <t>SIM-EST-0267970</t>
        </is>
      </c>
      <c r="B163" s="16" t="inlineStr">
        <is>
          <t>LJV155</t>
        </is>
      </c>
      <c r="C163" s="16" t="inlineStr">
        <is>
          <t>LOJA_VIVARA</t>
        </is>
      </c>
      <c r="D163" s="16" t="inlineStr">
        <is>
          <t>PRODUTO_ACABADO</t>
        </is>
      </c>
      <c r="E163" s="16" t="inlineStr">
        <is>
          <t>JOIAS</t>
        </is>
      </c>
      <c r="F163" s="16" t="inlineStr">
        <is>
          <t>JOI-06897</t>
        </is>
      </c>
      <c r="G163" s="16" t="n">
        <v>2</v>
      </c>
      <c r="H163" s="16" t="n">
        <v>1222.56</v>
      </c>
      <c r="I163" s="16" t="n">
        <v>2445.12</v>
      </c>
      <c r="J163" s="16" t="n">
        <v>766369269.14</v>
      </c>
      <c r="K163" s="16" t="n">
        <v>2</v>
      </c>
      <c r="L163" s="16" t="n">
        <v>1222.56</v>
      </c>
      <c r="M163" s="16" t="n">
        <v>2445.12</v>
      </c>
      <c r="N163" s="16" t="n">
        <v>0</v>
      </c>
      <c r="O163" s="16" t="n">
        <v>0</v>
      </c>
      <c r="P163" s="16" t="b">
        <v>0</v>
      </c>
    </row>
    <row r="164">
      <c r="A164" s="16" t="inlineStr">
        <is>
          <t>SIM-EST-0269903</t>
        </is>
      </c>
      <c r="B164" s="16" t="inlineStr">
        <is>
          <t>LJV267</t>
        </is>
      </c>
      <c r="C164" s="16" t="inlineStr">
        <is>
          <t>LOJA_VIVARA</t>
        </is>
      </c>
      <c r="D164" s="16" t="inlineStr">
        <is>
          <t>PRODUTO_ACABADO</t>
        </is>
      </c>
      <c r="E164" s="16" t="inlineStr">
        <is>
          <t>JOIAS</t>
        </is>
      </c>
      <c r="F164" s="16" t="inlineStr">
        <is>
          <t>JOI-05468</t>
        </is>
      </c>
      <c r="G164" s="16" t="n">
        <v>1</v>
      </c>
      <c r="H164" s="16" t="n">
        <v>818.79</v>
      </c>
      <c r="I164" s="16" t="n">
        <v>818.79</v>
      </c>
      <c r="J164" s="16" t="n">
        <v>771234258.49</v>
      </c>
      <c r="K164" s="16" t="n">
        <v>1</v>
      </c>
      <c r="L164" s="16" t="n">
        <v>818.79</v>
      </c>
      <c r="M164" s="16" t="n">
        <v>818.79</v>
      </c>
      <c r="N164" s="16" t="n">
        <v>0</v>
      </c>
      <c r="O164" s="16" t="n">
        <v>0</v>
      </c>
      <c r="P164" s="16" t="b">
        <v>0</v>
      </c>
    </row>
    <row r="165">
      <c r="A165" s="16" t="inlineStr">
        <is>
          <t>SIM-EST-0271278</t>
        </is>
      </c>
      <c r="B165" s="16" t="inlineStr">
        <is>
          <t>CD01</t>
        </is>
      </c>
      <c r="C165" s="16" t="inlineStr">
        <is>
          <t>CENTRO_DISTRIBUICAO</t>
        </is>
      </c>
      <c r="D165" s="16" t="inlineStr">
        <is>
          <t>PRODUTO_ACABADO</t>
        </is>
      </c>
      <c r="E165" s="16" t="inlineStr">
        <is>
          <t>JOIAS</t>
        </is>
      </c>
      <c r="F165" s="16" t="inlineStr">
        <is>
          <t>JOI-01653</t>
        </is>
      </c>
      <c r="G165" s="16" t="n">
        <v>70</v>
      </c>
      <c r="H165" s="16" t="n">
        <v>1800.34</v>
      </c>
      <c r="I165" s="16" t="n">
        <v>126023.8</v>
      </c>
      <c r="J165" s="16" t="n">
        <v>776099247.83</v>
      </c>
      <c r="K165" s="16" t="n">
        <v>70</v>
      </c>
      <c r="L165" s="16" t="n">
        <v>1800.34</v>
      </c>
      <c r="M165" s="16" t="n">
        <v>126023.8</v>
      </c>
      <c r="N165" s="16" t="n">
        <v>0</v>
      </c>
      <c r="O165" s="16" t="n">
        <v>0</v>
      </c>
      <c r="P165" s="16" t="b">
        <v>0</v>
      </c>
    </row>
    <row r="166">
      <c r="A166" s="16" t="inlineStr">
        <is>
          <t>SIM-EST-0272697</t>
        </is>
      </c>
      <c r="B166" s="16" t="inlineStr">
        <is>
          <t>LJV066</t>
        </is>
      </c>
      <c r="C166" s="16" t="inlineStr">
        <is>
          <t>LOJA_VIVARA</t>
        </is>
      </c>
      <c r="D166" s="16" t="inlineStr">
        <is>
          <t>PRODUTO_ACABADO</t>
        </is>
      </c>
      <c r="E166" s="16" t="inlineStr">
        <is>
          <t>RELOGIOS</t>
        </is>
      </c>
      <c r="F166" s="16" t="inlineStr">
        <is>
          <t>REL-03656</t>
        </is>
      </c>
      <c r="G166" s="16" t="n">
        <v>6</v>
      </c>
      <c r="H166" s="16" t="n">
        <v>431.04</v>
      </c>
      <c r="I166" s="16" t="n">
        <v>2586.24</v>
      </c>
      <c r="J166" s="16" t="n">
        <v>780964237.17</v>
      </c>
      <c r="K166" s="16" t="n">
        <v>6</v>
      </c>
      <c r="L166" s="16" t="n">
        <v>431.04</v>
      </c>
      <c r="M166" s="16" t="n">
        <v>2586.24</v>
      </c>
      <c r="N166" s="16" t="n">
        <v>0</v>
      </c>
      <c r="O166" s="16" t="n">
        <v>0</v>
      </c>
      <c r="P166" s="16" t="b">
        <v>0</v>
      </c>
    </row>
    <row r="167">
      <c r="A167" s="16" t="inlineStr">
        <is>
          <t>SIM-EST-0274252</t>
        </is>
      </c>
      <c r="B167" s="16" t="inlineStr">
        <is>
          <t>FAB-MAO</t>
        </is>
      </c>
      <c r="C167" s="16" t="inlineStr">
        <is>
          <t>FABRICA</t>
        </is>
      </c>
      <c r="D167" s="16" t="inlineStr">
        <is>
          <t>PRODUTO_ACABADO</t>
        </is>
      </c>
      <c r="E167" s="16" t="inlineStr">
        <is>
          <t>JOIAS</t>
        </is>
      </c>
      <c r="F167" s="16" t="inlineStr">
        <is>
          <t>JOI-06029</t>
        </is>
      </c>
      <c r="G167" s="16" t="n">
        <v>35</v>
      </c>
      <c r="H167" s="16" t="n">
        <v>1132.77</v>
      </c>
      <c r="I167" s="16" t="n">
        <v>39646.95</v>
      </c>
      <c r="J167" s="16" t="n">
        <v>785829226.52</v>
      </c>
      <c r="K167" s="16" t="n">
        <v>35</v>
      </c>
      <c r="L167" s="16" t="n">
        <v>1132.77</v>
      </c>
      <c r="M167" s="16" t="n">
        <v>39646.95</v>
      </c>
      <c r="N167" s="16" t="n">
        <v>0</v>
      </c>
      <c r="O167" s="16" t="n">
        <v>0</v>
      </c>
      <c r="P167" s="16" t="b">
        <v>0</v>
      </c>
    </row>
    <row r="168">
      <c r="A168" s="16" t="inlineStr">
        <is>
          <t>SIM-EST-0276316</t>
        </is>
      </c>
      <c r="B168" s="16" t="inlineStr">
        <is>
          <t>LJV141</t>
        </is>
      </c>
      <c r="C168" s="16" t="inlineStr">
        <is>
          <t>LOJA_VIVARA</t>
        </is>
      </c>
      <c r="D168" s="16" t="inlineStr">
        <is>
          <t>PRODUTO_ACABADO</t>
        </is>
      </c>
      <c r="E168" s="16" t="inlineStr">
        <is>
          <t>JOIAS</t>
        </is>
      </c>
      <c r="F168" s="16" t="inlineStr">
        <is>
          <t>JOI-01617</t>
        </is>
      </c>
      <c r="G168" s="16" t="n">
        <v>4</v>
      </c>
      <c r="H168" s="16" t="n">
        <v>1046.67</v>
      </c>
      <c r="I168" s="16" t="n">
        <v>4186.68</v>
      </c>
      <c r="J168" s="16" t="n">
        <v>790694215.86</v>
      </c>
      <c r="K168" s="16" t="n">
        <v>4</v>
      </c>
      <c r="L168" s="16" t="n">
        <v>1046.67</v>
      </c>
      <c r="M168" s="16" t="n">
        <v>4186.68</v>
      </c>
      <c r="N168" s="16" t="n">
        <v>0</v>
      </c>
      <c r="O168" s="16" t="n">
        <v>0</v>
      </c>
      <c r="P168" s="16" t="b">
        <v>0</v>
      </c>
    </row>
    <row r="169">
      <c r="A169" s="16" t="inlineStr">
        <is>
          <t>SIM-EST-0278171</t>
        </is>
      </c>
      <c r="B169" s="16" t="inlineStr">
        <is>
          <t>LJV049</t>
        </is>
      </c>
      <c r="C169" s="16" t="inlineStr">
        <is>
          <t>LOJA_VIVARA</t>
        </is>
      </c>
      <c r="D169" s="16" t="inlineStr">
        <is>
          <t>PRODUTO_ACABADO</t>
        </is>
      </c>
      <c r="E169" s="16" t="inlineStr">
        <is>
          <t>JOIAS</t>
        </is>
      </c>
      <c r="F169" s="16" t="inlineStr">
        <is>
          <t>JOI-08939</t>
        </is>
      </c>
      <c r="G169" s="16" t="n">
        <v>4</v>
      </c>
      <c r="H169" s="16" t="n">
        <v>3585.51</v>
      </c>
      <c r="I169" s="16" t="n">
        <v>14342.04</v>
      </c>
      <c r="J169" s="16" t="n">
        <v>795559205.21</v>
      </c>
      <c r="K169" s="16" t="n">
        <v>4</v>
      </c>
      <c r="L169" s="16" t="n">
        <v>3585.51</v>
      </c>
      <c r="M169" s="16" t="n">
        <v>14342.04</v>
      </c>
      <c r="N169" s="16" t="n">
        <v>0</v>
      </c>
      <c r="O169" s="16" t="n">
        <v>0</v>
      </c>
      <c r="P169" s="16" t="b">
        <v>0</v>
      </c>
    </row>
    <row r="170">
      <c r="A170" s="16" t="inlineStr">
        <is>
          <t>SIM-EST-0279884</t>
        </is>
      </c>
      <c r="B170" s="16" t="inlineStr">
        <is>
          <t>FAB-MAO</t>
        </is>
      </c>
      <c r="C170" s="16" t="inlineStr">
        <is>
          <t>FABRICA</t>
        </is>
      </c>
      <c r="D170" s="16" t="inlineStr">
        <is>
          <t>PRODUTO_ACABADO</t>
        </is>
      </c>
      <c r="E170" s="16" t="inlineStr">
        <is>
          <t>JOIAS</t>
        </is>
      </c>
      <c r="F170" s="16" t="inlineStr">
        <is>
          <t>JOI-02885</t>
        </is>
      </c>
      <c r="G170" s="16" t="n">
        <v>60</v>
      </c>
      <c r="H170" s="16" t="n">
        <v>4675.4</v>
      </c>
      <c r="I170" s="16" t="n">
        <v>280524</v>
      </c>
      <c r="J170" s="16" t="n">
        <v>800424194.55</v>
      </c>
      <c r="K170" s="16" t="n">
        <v>60</v>
      </c>
      <c r="L170" s="16" t="n">
        <v>4675.4</v>
      </c>
      <c r="M170" s="16" t="n">
        <v>280524</v>
      </c>
      <c r="N170" s="16" t="n">
        <v>0</v>
      </c>
      <c r="O170" s="16" t="n">
        <v>0</v>
      </c>
      <c r="P170" s="16" t="b">
        <v>0</v>
      </c>
    </row>
    <row r="171">
      <c r="A171" s="16" t="inlineStr">
        <is>
          <t>SIM-EST-0281616</t>
        </is>
      </c>
      <c r="B171" s="16" t="inlineStr">
        <is>
          <t>CD01</t>
        </is>
      </c>
      <c r="C171" s="16" t="inlineStr">
        <is>
          <t>CENTRO_DISTRIBUICAO</t>
        </is>
      </c>
      <c r="D171" s="16" t="inlineStr">
        <is>
          <t>PRODUTO_ACABADO</t>
        </is>
      </c>
      <c r="E171" s="16" t="inlineStr">
        <is>
          <t>RELOGIOS</t>
        </is>
      </c>
      <c r="F171" s="16" t="inlineStr">
        <is>
          <t>REL-00238</t>
        </is>
      </c>
      <c r="G171" s="16" t="n">
        <v>17</v>
      </c>
      <c r="H171" s="16" t="n">
        <v>244.79</v>
      </c>
      <c r="I171" s="16" t="n">
        <v>4161.43</v>
      </c>
      <c r="J171" s="16" t="n">
        <v>805289183.9</v>
      </c>
      <c r="K171" s="16" t="n">
        <v>17</v>
      </c>
      <c r="L171" s="16" t="n">
        <v>244.79</v>
      </c>
      <c r="M171" s="16" t="n">
        <v>4161.43</v>
      </c>
      <c r="N171" s="16" t="n">
        <v>0</v>
      </c>
      <c r="O171" s="16" t="n">
        <v>0</v>
      </c>
      <c r="P171" s="16" t="b">
        <v>0</v>
      </c>
    </row>
    <row r="172">
      <c r="A172" s="16" t="inlineStr">
        <is>
          <t>SIM-EST-0282756</t>
        </is>
      </c>
      <c r="B172" s="16" t="inlineStr">
        <is>
          <t>LJV001</t>
        </is>
      </c>
      <c r="C172" s="16" t="inlineStr">
        <is>
          <t>LOJA_VIVARA</t>
        </is>
      </c>
      <c r="D172" s="16" t="inlineStr">
        <is>
          <t>PRODUTO_ACABADO</t>
        </is>
      </c>
      <c r="E172" s="16" t="inlineStr">
        <is>
          <t>JOIAS</t>
        </is>
      </c>
      <c r="F172" s="16" t="inlineStr">
        <is>
          <t>JOI-01289</t>
        </is>
      </c>
      <c r="G172" s="16" t="n">
        <v>1</v>
      </c>
      <c r="H172" s="16" t="n">
        <v>1393.99</v>
      </c>
      <c r="I172" s="16" t="n">
        <v>1393.99</v>
      </c>
      <c r="J172" s="16" t="n">
        <v>810154173.24</v>
      </c>
      <c r="K172" s="16" t="n">
        <v>1</v>
      </c>
      <c r="L172" s="16" t="n">
        <v>1393.99</v>
      </c>
      <c r="M172" s="16" t="n">
        <v>1393.99</v>
      </c>
      <c r="N172" s="16" t="n">
        <v>0</v>
      </c>
      <c r="O172" s="16" t="n">
        <v>0</v>
      </c>
      <c r="P172" s="16" t="b">
        <v>0</v>
      </c>
    </row>
    <row r="173">
      <c r="A173" s="16" t="inlineStr">
        <is>
          <t>SIM-EST-0284758</t>
        </is>
      </c>
      <c r="B173" s="16" t="inlineStr">
        <is>
          <t>CD03</t>
        </is>
      </c>
      <c r="C173" s="16" t="inlineStr">
        <is>
          <t>CENTRO_DISTRIBUICAO</t>
        </is>
      </c>
      <c r="D173" s="16" t="inlineStr">
        <is>
          <t>PRODUTO_ACABADO</t>
        </is>
      </c>
      <c r="E173" s="16" t="inlineStr">
        <is>
          <t>JOIAS</t>
        </is>
      </c>
      <c r="F173" s="16" t="inlineStr">
        <is>
          <t>JOI-02631</t>
        </is>
      </c>
      <c r="G173" s="16" t="n">
        <v>66</v>
      </c>
      <c r="H173" s="16" t="n">
        <v>1903.29</v>
      </c>
      <c r="I173" s="16" t="n">
        <v>125617.14</v>
      </c>
      <c r="J173" s="16" t="n">
        <v>815019162.59</v>
      </c>
      <c r="K173" s="16" t="n">
        <v>66</v>
      </c>
      <c r="L173" s="16" t="n">
        <v>1903.29</v>
      </c>
      <c r="M173" s="16" t="n">
        <v>125617.14</v>
      </c>
      <c r="N173" s="16" t="n">
        <v>0</v>
      </c>
      <c r="O173" s="16" t="n">
        <v>0</v>
      </c>
      <c r="P173" s="16" t="b">
        <v>0</v>
      </c>
    </row>
    <row r="174">
      <c r="A174" s="16" t="inlineStr">
        <is>
          <t>SIM-EST-0286362</t>
        </is>
      </c>
      <c r="B174" s="16" t="inlineStr">
        <is>
          <t>FAB-MAO</t>
        </is>
      </c>
      <c r="C174" s="16" t="inlineStr">
        <is>
          <t>FABRICA</t>
        </is>
      </c>
      <c r="D174" s="16" t="inlineStr">
        <is>
          <t>MATERIA_PRIMA</t>
        </is>
      </c>
      <c r="E174" s="16" t="inlineStr">
        <is>
          <t>PRATA</t>
        </is>
      </c>
      <c r="F174" s="16" t="inlineStr">
        <is>
          <t>MP-PRA-00838</t>
        </is>
      </c>
      <c r="G174" s="16" t="n">
        <v>18857.01</v>
      </c>
      <c r="H174" s="16" t="n">
        <v>5.11</v>
      </c>
      <c r="I174" s="16" t="n">
        <v>96359.32000000001</v>
      </c>
      <c r="J174" s="16" t="n">
        <v>819884151.9299999</v>
      </c>
      <c r="K174" s="16" t="n">
        <v>18857.01</v>
      </c>
      <c r="L174" s="16" t="n">
        <v>5.11</v>
      </c>
      <c r="M174" s="16" t="n">
        <v>96359.32000000001</v>
      </c>
      <c r="N174" s="16" t="n">
        <v>0</v>
      </c>
      <c r="O174" s="16" t="n">
        <v>0</v>
      </c>
      <c r="P174" s="16" t="b">
        <v>0</v>
      </c>
    </row>
    <row r="175">
      <c r="A175" s="16" t="inlineStr">
        <is>
          <t>SIM-EST-0287856</t>
        </is>
      </c>
      <c r="B175" s="16" t="inlineStr">
        <is>
          <t>LJV177</t>
        </is>
      </c>
      <c r="C175" s="16" t="inlineStr">
        <is>
          <t>LOJA_VIVARA</t>
        </is>
      </c>
      <c r="D175" s="16" t="inlineStr">
        <is>
          <t>PRODUTO_ACABADO</t>
        </is>
      </c>
      <c r="E175" s="16" t="inlineStr">
        <is>
          <t>JOIAS</t>
        </is>
      </c>
      <c r="F175" s="16" t="inlineStr">
        <is>
          <t>JOI-01516</t>
        </is>
      </c>
      <c r="G175" s="16" t="n">
        <v>1</v>
      </c>
      <c r="H175" s="16" t="n">
        <v>481.96</v>
      </c>
      <c r="I175" s="16" t="n">
        <v>481.96</v>
      </c>
      <c r="J175" s="16" t="n">
        <v>824749141.28</v>
      </c>
      <c r="K175" s="16" t="n">
        <v>1</v>
      </c>
      <c r="L175" s="16" t="n">
        <v>481.96</v>
      </c>
      <c r="M175" s="16" t="n">
        <v>481.96</v>
      </c>
      <c r="N175" s="16" t="n">
        <v>0</v>
      </c>
      <c r="O175" s="16" t="n">
        <v>0</v>
      </c>
      <c r="P175" s="16" t="b">
        <v>0</v>
      </c>
    </row>
    <row r="176">
      <c r="A176" s="16" t="inlineStr">
        <is>
          <t>SIM-EST-0289442</t>
        </is>
      </c>
      <c r="B176" s="16" t="inlineStr">
        <is>
          <t>LJV182</t>
        </is>
      </c>
      <c r="C176" s="16" t="inlineStr">
        <is>
          <t>LOJA_VIVARA</t>
        </is>
      </c>
      <c r="D176" s="16" t="inlineStr">
        <is>
          <t>PRODUTO_ACABADO</t>
        </is>
      </c>
      <c r="E176" s="16" t="inlineStr">
        <is>
          <t>JOIAS</t>
        </is>
      </c>
      <c r="F176" s="16" t="inlineStr">
        <is>
          <t>JOI-06315</t>
        </is>
      </c>
      <c r="G176" s="16" t="n">
        <v>5</v>
      </c>
      <c r="H176" s="16" t="n">
        <v>4356.52</v>
      </c>
      <c r="I176" s="16" t="n">
        <v>21782.6</v>
      </c>
      <c r="J176" s="16" t="n">
        <v>829614130.62</v>
      </c>
      <c r="K176" s="16" t="n">
        <v>5</v>
      </c>
      <c r="L176" s="16" t="n">
        <v>4356.52</v>
      </c>
      <c r="M176" s="16" t="n">
        <v>21782.6</v>
      </c>
      <c r="N176" s="16" t="n">
        <v>0</v>
      </c>
      <c r="O176" s="16" t="n">
        <v>0</v>
      </c>
      <c r="P176" s="16" t="b">
        <v>0</v>
      </c>
    </row>
    <row r="177">
      <c r="A177" s="16" t="inlineStr">
        <is>
          <t>SIM-EST-0290527</t>
        </is>
      </c>
      <c r="B177" s="16" t="inlineStr">
        <is>
          <t>LJV102</t>
        </is>
      </c>
      <c r="C177" s="16" t="inlineStr">
        <is>
          <t>LOJA_VIVARA</t>
        </is>
      </c>
      <c r="D177" s="16" t="inlineStr">
        <is>
          <t>PRODUTO_ACABADO</t>
        </is>
      </c>
      <c r="E177" s="16" t="inlineStr">
        <is>
          <t>RELOGIOS</t>
        </is>
      </c>
      <c r="F177" s="16" t="inlineStr">
        <is>
          <t>REL-00451</t>
        </is>
      </c>
      <c r="G177" s="16" t="n">
        <v>5</v>
      </c>
      <c r="H177" s="16" t="n">
        <v>166.56</v>
      </c>
      <c r="I177" s="16" t="n">
        <v>832.8</v>
      </c>
      <c r="J177" s="16" t="n">
        <v>834479119.97</v>
      </c>
      <c r="K177" s="16" t="n">
        <v>5</v>
      </c>
      <c r="L177" s="16" t="n">
        <v>166.56</v>
      </c>
      <c r="M177" s="16" t="n">
        <v>832.8</v>
      </c>
      <c r="N177" s="16" t="n">
        <v>0</v>
      </c>
      <c r="O177" s="16" t="n">
        <v>0</v>
      </c>
      <c r="P177" s="16" t="b">
        <v>0</v>
      </c>
    </row>
    <row r="178">
      <c r="A178" s="16" t="inlineStr">
        <is>
          <t>SIM-EST-0292369</t>
        </is>
      </c>
      <c r="B178" s="16" t="inlineStr">
        <is>
          <t>CD03</t>
        </is>
      </c>
      <c r="C178" s="16" t="inlineStr">
        <is>
          <t>CENTRO_DISTRIBUICAO</t>
        </is>
      </c>
      <c r="D178" s="16" t="inlineStr">
        <is>
          <t>PRODUTO_ACABADO</t>
        </is>
      </c>
      <c r="E178" s="16" t="inlineStr">
        <is>
          <t>JOIAS</t>
        </is>
      </c>
      <c r="F178" s="16" t="inlineStr">
        <is>
          <t>JOI-09107</t>
        </is>
      </c>
      <c r="G178" s="16" t="n">
        <v>42</v>
      </c>
      <c r="H178" s="16" t="n">
        <v>1442.62</v>
      </c>
      <c r="I178" s="16" t="n">
        <v>60590.04</v>
      </c>
      <c r="J178" s="16" t="n">
        <v>839344109.3099999</v>
      </c>
      <c r="K178" s="16" t="n">
        <v>42</v>
      </c>
      <c r="L178" s="16" t="n">
        <v>1442.62</v>
      </c>
      <c r="M178" s="16" t="n">
        <v>60590.04</v>
      </c>
      <c r="N178" s="16" t="n">
        <v>0</v>
      </c>
      <c r="O178" s="16" t="n">
        <v>0</v>
      </c>
      <c r="P178" s="16" t="b">
        <v>0</v>
      </c>
    </row>
    <row r="179">
      <c r="A179" s="16" t="inlineStr">
        <is>
          <t>SIM-EST-0293516</t>
        </is>
      </c>
      <c r="B179" s="16" t="inlineStr">
        <is>
          <t>CD01</t>
        </is>
      </c>
      <c r="C179" s="16" t="inlineStr">
        <is>
          <t>CENTRO_DISTRIBUICAO</t>
        </is>
      </c>
      <c r="D179" s="16" t="inlineStr">
        <is>
          <t>PRODUTO_ACABADO</t>
        </is>
      </c>
      <c r="E179" s="16" t="inlineStr">
        <is>
          <t>JOIAS</t>
        </is>
      </c>
      <c r="F179" s="16" t="inlineStr">
        <is>
          <t>JOI-02325</t>
        </is>
      </c>
      <c r="G179" s="16" t="n">
        <v>58</v>
      </c>
      <c r="H179" s="16" t="n">
        <v>2895.71</v>
      </c>
      <c r="I179" s="16" t="n">
        <v>167951.18</v>
      </c>
      <c r="J179" s="16" t="n">
        <v>844209098.66</v>
      </c>
      <c r="K179" s="16" t="n">
        <v>58</v>
      </c>
      <c r="L179" s="16" t="n">
        <v>2895.71</v>
      </c>
      <c r="M179" s="16" t="n">
        <v>167951.18</v>
      </c>
      <c r="N179" s="16" t="n">
        <v>0</v>
      </c>
      <c r="O179" s="16" t="n">
        <v>0</v>
      </c>
      <c r="P179" s="16" t="b">
        <v>0</v>
      </c>
    </row>
    <row r="180">
      <c r="A180" s="16" t="inlineStr">
        <is>
          <t>SIM-EST-0295141</t>
        </is>
      </c>
      <c r="B180" s="16" t="inlineStr">
        <is>
          <t>FIL-SP</t>
        </is>
      </c>
      <c r="C180" s="16" t="inlineStr">
        <is>
          <t>FILIAL_COMPRAS</t>
        </is>
      </c>
      <c r="D180" s="16" t="inlineStr">
        <is>
          <t>MATERIA_PRIMA</t>
        </is>
      </c>
      <c r="E180" s="16" t="inlineStr">
        <is>
          <t>OURO</t>
        </is>
      </c>
      <c r="F180" s="16" t="inlineStr">
        <is>
          <t>MP-OUR-00546</t>
        </is>
      </c>
      <c r="G180" s="16" t="n">
        <v>1287.25</v>
      </c>
      <c r="H180" s="16" t="n">
        <v>347.95</v>
      </c>
      <c r="I180" s="16" t="n">
        <v>447898.64</v>
      </c>
      <c r="J180" s="16" t="n">
        <v>849074088</v>
      </c>
      <c r="K180" s="16" t="n">
        <v>1287.25</v>
      </c>
      <c r="L180" s="16" t="n">
        <v>347.95</v>
      </c>
      <c r="M180" s="16" t="n">
        <v>447898.64</v>
      </c>
      <c r="N180" s="16" t="n">
        <v>0</v>
      </c>
      <c r="O180" s="16" t="n">
        <v>0</v>
      </c>
      <c r="P180" s="16" t="b">
        <v>0</v>
      </c>
    </row>
    <row r="181">
      <c r="A181" s="16" t="inlineStr">
        <is>
          <t>SIM-EST-0296757</t>
        </is>
      </c>
      <c r="B181" s="16" t="inlineStr">
        <is>
          <t>LJV216</t>
        </is>
      </c>
      <c r="C181" s="16" t="inlineStr">
        <is>
          <t>LOJA_VIVARA</t>
        </is>
      </c>
      <c r="D181" s="16" t="inlineStr">
        <is>
          <t>PRODUTO_ACABADO</t>
        </is>
      </c>
      <c r="E181" s="16" t="inlineStr">
        <is>
          <t>JOIAS</t>
        </is>
      </c>
      <c r="F181" s="16" t="inlineStr">
        <is>
          <t>JOI-01774</t>
        </is>
      </c>
      <c r="G181" s="16" t="n">
        <v>6</v>
      </c>
      <c r="H181" s="16" t="n">
        <v>1080.73</v>
      </c>
      <c r="I181" s="16" t="n">
        <v>6484.38</v>
      </c>
      <c r="J181" s="16" t="n">
        <v>853939077.34</v>
      </c>
      <c r="K181" s="16" t="n">
        <v>6</v>
      </c>
      <c r="L181" s="16" t="n">
        <v>1080.73</v>
      </c>
      <c r="M181" s="16" t="n">
        <v>6484.38</v>
      </c>
      <c r="N181" s="16" t="n">
        <v>0</v>
      </c>
      <c r="O181" s="16" t="n">
        <v>0</v>
      </c>
      <c r="P181" s="16" t="b">
        <v>0</v>
      </c>
    </row>
    <row r="182">
      <c r="A182" s="16" t="inlineStr">
        <is>
          <t>SIM-EST-0298905</t>
        </is>
      </c>
      <c r="B182" s="16" t="inlineStr">
        <is>
          <t>FAB-MAO</t>
        </is>
      </c>
      <c r="C182" s="16" t="inlineStr">
        <is>
          <t>FABRICA</t>
        </is>
      </c>
      <c r="D182" s="16" t="inlineStr">
        <is>
          <t>PRODUTO_ACABADO</t>
        </is>
      </c>
      <c r="E182" s="16" t="inlineStr">
        <is>
          <t>JOIAS</t>
        </is>
      </c>
      <c r="F182" s="16" t="inlineStr">
        <is>
          <t>JOI-11313</t>
        </is>
      </c>
      <c r="G182" s="16" t="n">
        <v>49</v>
      </c>
      <c r="H182" s="16" t="n">
        <v>1313.08</v>
      </c>
      <c r="I182" s="16" t="n">
        <v>64340.92</v>
      </c>
      <c r="J182" s="16" t="n">
        <v>858804066.6900001</v>
      </c>
      <c r="K182" s="16" t="n">
        <v>49</v>
      </c>
      <c r="L182" s="16" t="n">
        <v>1313.08</v>
      </c>
      <c r="M182" s="16" t="n">
        <v>64340.92</v>
      </c>
      <c r="N182" s="16" t="n">
        <v>0</v>
      </c>
      <c r="O182" s="16" t="n">
        <v>0</v>
      </c>
      <c r="P182" s="16" t="b">
        <v>0</v>
      </c>
    </row>
    <row r="183">
      <c r="A183" s="16" t="inlineStr">
        <is>
          <t>SIM-EST-0300389</t>
        </is>
      </c>
      <c r="B183" s="16" t="inlineStr">
        <is>
          <t>FAB-MAO</t>
        </is>
      </c>
      <c r="C183" s="16" t="inlineStr">
        <is>
          <t>FABRICA</t>
        </is>
      </c>
      <c r="D183" s="16" t="inlineStr">
        <is>
          <t>MATERIA_PRIMA</t>
        </is>
      </c>
      <c r="E183" s="16" t="inlineStr">
        <is>
          <t>OURO</t>
        </is>
      </c>
      <c r="F183" s="16" t="inlineStr">
        <is>
          <t>MP-OUR-00365</t>
        </is>
      </c>
      <c r="G183" s="16" t="n">
        <v>1742.17</v>
      </c>
      <c r="H183" s="16" t="n">
        <v>346.57</v>
      </c>
      <c r="I183" s="16" t="n">
        <v>603783.86</v>
      </c>
      <c r="J183" s="16" t="n">
        <v>863669056.03</v>
      </c>
      <c r="K183" s="16" t="n">
        <v>1742.17</v>
      </c>
      <c r="L183" s="16" t="n">
        <v>346.57</v>
      </c>
      <c r="M183" s="16" t="n">
        <v>603783.86</v>
      </c>
      <c r="N183" s="16" t="n">
        <v>0</v>
      </c>
      <c r="O183" s="16" t="n">
        <v>0</v>
      </c>
      <c r="P183" s="16" t="b">
        <v>0</v>
      </c>
    </row>
    <row r="184">
      <c r="A184" s="16" t="inlineStr">
        <is>
          <t>SIM-EST-0302627</t>
        </is>
      </c>
      <c r="B184" s="16" t="inlineStr">
        <is>
          <t>LJV185</t>
        </is>
      </c>
      <c r="C184" s="16" t="inlineStr">
        <is>
          <t>LOJA_VIVARA</t>
        </is>
      </c>
      <c r="D184" s="16" t="inlineStr">
        <is>
          <t>PRODUTO_ACABADO</t>
        </is>
      </c>
      <c r="E184" s="16" t="inlineStr">
        <is>
          <t>JOIAS</t>
        </is>
      </c>
      <c r="F184" s="16" t="inlineStr">
        <is>
          <t>JOI-09144</t>
        </is>
      </c>
      <c r="G184" s="16" t="n">
        <v>4</v>
      </c>
      <c r="H184" s="16" t="n">
        <v>105.56</v>
      </c>
      <c r="I184" s="16" t="n">
        <v>422.24</v>
      </c>
      <c r="J184" s="16" t="n">
        <v>868534045.38</v>
      </c>
      <c r="K184" s="16" t="n">
        <v>4</v>
      </c>
      <c r="L184" s="16" t="n">
        <v>105.56</v>
      </c>
      <c r="M184" s="16" t="n">
        <v>422.24</v>
      </c>
      <c r="N184" s="16" t="n">
        <v>0</v>
      </c>
      <c r="O184" s="16" t="n">
        <v>0</v>
      </c>
      <c r="P184" s="16" t="b">
        <v>0</v>
      </c>
    </row>
    <row r="185">
      <c r="A185" s="16" t="inlineStr">
        <is>
          <t>SIM-EST-0304169</t>
        </is>
      </c>
      <c r="B185" s="16" t="inlineStr">
        <is>
          <t>LJV015</t>
        </is>
      </c>
      <c r="C185" s="16" t="inlineStr">
        <is>
          <t>LOJA_VIVARA</t>
        </is>
      </c>
      <c r="D185" s="16" t="inlineStr">
        <is>
          <t>PRODUTO_ACABADO</t>
        </is>
      </c>
      <c r="E185" s="16" t="inlineStr">
        <is>
          <t>RELOGIOS</t>
        </is>
      </c>
      <c r="F185" s="16" t="inlineStr">
        <is>
          <t>REL-02904</t>
        </is>
      </c>
      <c r="G185" s="16" t="n">
        <v>5</v>
      </c>
      <c r="H185" s="16" t="n">
        <v>500.52</v>
      </c>
      <c r="I185" s="16" t="n">
        <v>2502.6</v>
      </c>
      <c r="J185" s="16" t="n">
        <v>873399034.72</v>
      </c>
      <c r="K185" s="16" t="n">
        <v>5</v>
      </c>
      <c r="L185" s="16" t="n">
        <v>500.52</v>
      </c>
      <c r="M185" s="16" t="n">
        <v>2502.6</v>
      </c>
      <c r="N185" s="16" t="n">
        <v>0</v>
      </c>
      <c r="O185" s="16" t="n">
        <v>0</v>
      </c>
      <c r="P185" s="16" t="b">
        <v>0</v>
      </c>
    </row>
    <row r="186">
      <c r="A186" s="16" t="inlineStr">
        <is>
          <t>SIM-EST-0305743</t>
        </is>
      </c>
      <c r="B186" s="16" t="inlineStr">
        <is>
          <t>FIL-SP</t>
        </is>
      </c>
      <c r="C186" s="16" t="inlineStr">
        <is>
          <t>FILIAL_COMPRAS</t>
        </is>
      </c>
      <c r="D186" s="16" t="inlineStr">
        <is>
          <t>MATERIA_PRIMA</t>
        </is>
      </c>
      <c r="E186" s="16" t="inlineStr">
        <is>
          <t>OURO</t>
        </is>
      </c>
      <c r="F186" s="16" t="inlineStr">
        <is>
          <t>MP-OUR-00712</t>
        </is>
      </c>
      <c r="G186" s="16" t="n">
        <v>1566.62</v>
      </c>
      <c r="H186" s="16" t="n">
        <v>345.59</v>
      </c>
      <c r="I186" s="16" t="n">
        <v>541408.21</v>
      </c>
      <c r="J186" s="16" t="n">
        <v>878264024.0700001</v>
      </c>
      <c r="K186" s="16" t="n">
        <v>1566.62</v>
      </c>
      <c r="L186" s="16" t="n">
        <v>345.59</v>
      </c>
      <c r="M186" s="16" t="n">
        <v>541408.21</v>
      </c>
      <c r="N186" s="16" t="n">
        <v>0</v>
      </c>
      <c r="O186" s="16" t="n">
        <v>0</v>
      </c>
      <c r="P186" s="16" t="b">
        <v>0</v>
      </c>
    </row>
    <row r="187">
      <c r="A187" s="16" t="inlineStr">
        <is>
          <t>SIM-EST-0307731</t>
        </is>
      </c>
      <c r="B187" s="16" t="inlineStr">
        <is>
          <t>CD01</t>
        </is>
      </c>
      <c r="C187" s="16" t="inlineStr">
        <is>
          <t>CENTRO_DISTRIBUICAO</t>
        </is>
      </c>
      <c r="D187" s="16" t="inlineStr">
        <is>
          <t>PRODUTO_ACABADO</t>
        </is>
      </c>
      <c r="E187" s="16" t="inlineStr">
        <is>
          <t>JOIAS</t>
        </is>
      </c>
      <c r="F187" s="16" t="inlineStr">
        <is>
          <t>JOI-11889</t>
        </is>
      </c>
      <c r="G187" s="16" t="n">
        <v>56</v>
      </c>
      <c r="H187" s="16" t="n">
        <v>219.92</v>
      </c>
      <c r="I187" s="16" t="n">
        <v>12315.52</v>
      </c>
      <c r="J187" s="16" t="n">
        <v>883129013.41</v>
      </c>
      <c r="K187" s="16" t="n">
        <v>56</v>
      </c>
      <c r="L187" s="16" t="n">
        <v>219.92</v>
      </c>
      <c r="M187" s="16" t="n">
        <v>12315.52</v>
      </c>
      <c r="N187" s="16" t="n">
        <v>0</v>
      </c>
      <c r="O187" s="16" t="n">
        <v>0</v>
      </c>
      <c r="P187" s="16" t="b">
        <v>0</v>
      </c>
    </row>
    <row r="188">
      <c r="A188" s="16" t="inlineStr">
        <is>
          <t>SIM-EST-0308994</t>
        </is>
      </c>
      <c r="B188" s="16" t="inlineStr">
        <is>
          <t>FAB-MAO</t>
        </is>
      </c>
      <c r="C188" s="16" t="inlineStr">
        <is>
          <t>FABRICA</t>
        </is>
      </c>
      <c r="D188" s="16" t="inlineStr">
        <is>
          <t>MATERIA_PRIMA</t>
        </is>
      </c>
      <c r="E188" s="16" t="inlineStr">
        <is>
          <t>PEDRAS_CORADAS</t>
        </is>
      </c>
      <c r="F188" s="16" t="inlineStr">
        <is>
          <t>MP-PED-00896</t>
        </is>
      </c>
      <c r="G188" s="16" t="n">
        <v>501.69</v>
      </c>
      <c r="H188" s="16" t="n">
        <v>235.74</v>
      </c>
      <c r="I188" s="16" t="n">
        <v>118268.4</v>
      </c>
      <c r="J188" s="16" t="n">
        <v>887994002.76</v>
      </c>
      <c r="K188" s="16" t="n">
        <v>501.69</v>
      </c>
      <c r="L188" s="16" t="n">
        <v>235.74</v>
      </c>
      <c r="M188" s="16" t="n">
        <v>118268.4</v>
      </c>
      <c r="N188" s="16" t="n">
        <v>0</v>
      </c>
      <c r="O188" s="16" t="n">
        <v>0</v>
      </c>
      <c r="P188" s="16" t="b">
        <v>0</v>
      </c>
    </row>
    <row r="189">
      <c r="A189" s="16" t="inlineStr">
        <is>
          <t>SIM-EST-0310931</t>
        </is>
      </c>
      <c r="B189" s="16" t="inlineStr">
        <is>
          <t>LJV001</t>
        </is>
      </c>
      <c r="C189" s="16" t="inlineStr">
        <is>
          <t>LOJA_VIVARA</t>
        </is>
      </c>
      <c r="D189" s="16" t="inlineStr">
        <is>
          <t>PRODUTO_ACABADO</t>
        </is>
      </c>
      <c r="E189" s="16" t="inlineStr">
        <is>
          <t>JOIAS</t>
        </is>
      </c>
      <c r="F189" s="16" t="inlineStr">
        <is>
          <t>JOI-05476</t>
        </is>
      </c>
      <c r="G189" s="16" t="n">
        <v>5</v>
      </c>
      <c r="H189" s="16" t="n">
        <v>4922.92</v>
      </c>
      <c r="I189" s="16" t="n">
        <v>24614.6</v>
      </c>
      <c r="J189" s="16" t="n">
        <v>892858992.1</v>
      </c>
      <c r="K189" s="16" t="n">
        <v>5</v>
      </c>
      <c r="L189" s="16" t="n">
        <v>4922.92</v>
      </c>
      <c r="M189" s="16" t="n">
        <v>24614.6</v>
      </c>
      <c r="N189" s="16" t="n">
        <v>0</v>
      </c>
      <c r="O189" s="16" t="n">
        <v>0</v>
      </c>
      <c r="P189" s="16" t="b">
        <v>0</v>
      </c>
    </row>
    <row r="190">
      <c r="A190" s="16" t="inlineStr">
        <is>
          <t>SIM-EST-0312541</t>
        </is>
      </c>
      <c r="B190" s="16" t="inlineStr">
        <is>
          <t>FAB-MAO</t>
        </is>
      </c>
      <c r="C190" s="16" t="inlineStr">
        <is>
          <t>FABRICA</t>
        </is>
      </c>
      <c r="D190" s="16" t="inlineStr">
        <is>
          <t>MATERIA_PRIMA</t>
        </is>
      </c>
      <c r="E190" s="16" t="inlineStr">
        <is>
          <t>OURO</t>
        </is>
      </c>
      <c r="F190" s="16" t="inlineStr">
        <is>
          <t>MP-OUR-00258</t>
        </is>
      </c>
      <c r="G190" s="16" t="n">
        <v>263.2</v>
      </c>
      <c r="H190" s="16" t="n">
        <v>354.93</v>
      </c>
      <c r="I190" s="16" t="n">
        <v>93417.58</v>
      </c>
      <c r="J190" s="16" t="n">
        <v>897723981.45</v>
      </c>
      <c r="K190" s="16" t="n">
        <v>263.2</v>
      </c>
      <c r="L190" s="16" t="n">
        <v>354.93</v>
      </c>
      <c r="M190" s="16" t="n">
        <v>93417.58</v>
      </c>
      <c r="N190" s="16" t="n">
        <v>0</v>
      </c>
      <c r="O190" s="16" t="n">
        <v>0</v>
      </c>
      <c r="P190" s="16" t="b">
        <v>0</v>
      </c>
    </row>
    <row r="191">
      <c r="A191" s="16" t="inlineStr">
        <is>
          <t>SIM-EST-0314339</t>
        </is>
      </c>
      <c r="B191" s="16" t="inlineStr">
        <is>
          <t>FAB-MAO</t>
        </is>
      </c>
      <c r="C191" s="16" t="inlineStr">
        <is>
          <t>FABRICA</t>
        </is>
      </c>
      <c r="D191" s="16" t="inlineStr">
        <is>
          <t>MATERIA_PRIMA</t>
        </is>
      </c>
      <c r="E191" s="16" t="inlineStr">
        <is>
          <t>OURO</t>
        </is>
      </c>
      <c r="F191" s="16" t="inlineStr">
        <is>
          <t>MP-OUR-00780</t>
        </is>
      </c>
      <c r="G191" s="16" t="n">
        <v>507.56</v>
      </c>
      <c r="H191" s="16" t="n">
        <v>349.85</v>
      </c>
      <c r="I191" s="16" t="n">
        <v>177569.87</v>
      </c>
      <c r="J191" s="16" t="n">
        <v>902588970.79</v>
      </c>
      <c r="K191" s="16" t="n">
        <v>507.56</v>
      </c>
      <c r="L191" s="16" t="n">
        <v>349.85</v>
      </c>
      <c r="M191" s="16" t="n">
        <v>177569.87</v>
      </c>
      <c r="N191" s="16" t="n">
        <v>0</v>
      </c>
      <c r="O191" s="16" t="n">
        <v>0</v>
      </c>
      <c r="P191" s="16" t="b">
        <v>0</v>
      </c>
    </row>
    <row r="192">
      <c r="A192" s="16" t="inlineStr">
        <is>
          <t>SIM-EST-0316109</t>
        </is>
      </c>
      <c r="B192" s="16" t="inlineStr">
        <is>
          <t>FAB-MAO</t>
        </is>
      </c>
      <c r="C192" s="16" t="inlineStr">
        <is>
          <t>FABRICA</t>
        </is>
      </c>
      <c r="D192" s="16" t="inlineStr">
        <is>
          <t>MATERIA_PRIMA</t>
        </is>
      </c>
      <c r="E192" s="16" t="inlineStr">
        <is>
          <t>OURO</t>
        </is>
      </c>
      <c r="F192" s="16" t="inlineStr">
        <is>
          <t>MP-OUR-00274</t>
        </is>
      </c>
      <c r="G192" s="16" t="n">
        <v>353.35</v>
      </c>
      <c r="H192" s="16" t="n">
        <v>373.88</v>
      </c>
      <c r="I192" s="16" t="n">
        <v>132110.5</v>
      </c>
      <c r="J192" s="16" t="n">
        <v>907453960.14</v>
      </c>
      <c r="K192" s="16" t="n">
        <v>353.35</v>
      </c>
      <c r="L192" s="16" t="n">
        <v>373.88</v>
      </c>
      <c r="M192" s="16" t="n">
        <v>132110.5</v>
      </c>
      <c r="N192" s="16" t="n">
        <v>0</v>
      </c>
      <c r="O192" s="16" t="n">
        <v>0</v>
      </c>
      <c r="P192" s="16" t="b">
        <v>0</v>
      </c>
    </row>
    <row r="193">
      <c r="A193" s="16" t="inlineStr">
        <is>
          <t>SIM-EST-0317622</t>
        </is>
      </c>
      <c r="B193" s="16" t="inlineStr">
        <is>
          <t>FAB-MAO</t>
        </is>
      </c>
      <c r="C193" s="16" t="inlineStr">
        <is>
          <t>FABRICA</t>
        </is>
      </c>
      <c r="D193" s="16" t="inlineStr">
        <is>
          <t>MATERIA_PRIMA</t>
        </is>
      </c>
      <c r="E193" s="16" t="inlineStr">
        <is>
          <t>OURO</t>
        </is>
      </c>
      <c r="F193" s="16" t="inlineStr">
        <is>
          <t>MP-OUR-00090</t>
        </is>
      </c>
      <c r="G193" s="16" t="n">
        <v>2193.79</v>
      </c>
      <c r="H193" s="16" t="n">
        <v>356.86</v>
      </c>
      <c r="I193" s="16" t="n">
        <v>782875.9</v>
      </c>
      <c r="J193" s="16" t="n">
        <v>912318949.48</v>
      </c>
      <c r="K193" s="16" t="n">
        <v>2193.79</v>
      </c>
      <c r="L193" s="16" t="n">
        <v>356.86</v>
      </c>
      <c r="M193" s="16" t="n">
        <v>782875.9</v>
      </c>
      <c r="N193" s="16" t="n">
        <v>0</v>
      </c>
      <c r="O193" s="16" t="n">
        <v>0</v>
      </c>
      <c r="P193" s="16" t="b">
        <v>0</v>
      </c>
    </row>
    <row r="194">
      <c r="A194" s="16" t="inlineStr">
        <is>
          <t>SIM-EST-0319420</t>
        </is>
      </c>
      <c r="B194" s="16" t="inlineStr">
        <is>
          <t>CD01</t>
        </is>
      </c>
      <c r="C194" s="16" t="inlineStr">
        <is>
          <t>CENTRO_DISTRIBUICAO</t>
        </is>
      </c>
      <c r="D194" s="16" t="inlineStr">
        <is>
          <t>PRODUTO_ACABADO</t>
        </is>
      </c>
      <c r="E194" s="16" t="inlineStr">
        <is>
          <t>JOIAS</t>
        </is>
      </c>
      <c r="F194" s="16" t="inlineStr">
        <is>
          <t>JOI-01520</t>
        </is>
      </c>
      <c r="G194" s="16" t="n">
        <v>129</v>
      </c>
      <c r="H194" s="16" t="n">
        <v>2125.45</v>
      </c>
      <c r="I194" s="16" t="n">
        <v>274183.05</v>
      </c>
      <c r="J194" s="16" t="n">
        <v>917183938.83</v>
      </c>
      <c r="K194" s="16" t="n">
        <v>129</v>
      </c>
      <c r="L194" s="16" t="n">
        <v>2125.45</v>
      </c>
      <c r="M194" s="16" t="n">
        <v>274183.05</v>
      </c>
      <c r="N194" s="16" t="n">
        <v>0</v>
      </c>
      <c r="O194" s="16" t="n">
        <v>0</v>
      </c>
      <c r="P194" s="16" t="b">
        <v>0</v>
      </c>
    </row>
    <row r="195">
      <c r="A195" s="16" t="inlineStr">
        <is>
          <t>SIM-EST-0320948</t>
        </is>
      </c>
      <c r="B195" s="16" t="inlineStr">
        <is>
          <t>FAB-MAO</t>
        </is>
      </c>
      <c r="C195" s="16" t="inlineStr">
        <is>
          <t>FABRICA</t>
        </is>
      </c>
      <c r="D195" s="16" t="inlineStr">
        <is>
          <t>MATERIA_PRIMA</t>
        </is>
      </c>
      <c r="E195" s="16" t="inlineStr">
        <is>
          <t>OURO</t>
        </is>
      </c>
      <c r="F195" s="16" t="inlineStr">
        <is>
          <t>MP-OUR-00347</t>
        </is>
      </c>
      <c r="G195" s="16" t="n">
        <v>632.65</v>
      </c>
      <c r="H195" s="16" t="n">
        <v>350.58</v>
      </c>
      <c r="I195" s="16" t="n">
        <v>221794.44</v>
      </c>
      <c r="J195" s="16" t="n">
        <v>922048928.17</v>
      </c>
      <c r="K195" s="16" t="n">
        <v>632.65</v>
      </c>
      <c r="L195" s="16" t="n">
        <v>350.58</v>
      </c>
      <c r="M195" s="16" t="n">
        <v>221794.44</v>
      </c>
      <c r="N195" s="16" t="n">
        <v>0</v>
      </c>
      <c r="O195" s="16" t="n">
        <v>0</v>
      </c>
      <c r="P195" s="16" t="b">
        <v>0</v>
      </c>
    </row>
    <row r="196">
      <c r="A196" s="16" t="inlineStr">
        <is>
          <t>SIM-EST-0322294</t>
        </is>
      </c>
      <c r="B196" s="16" t="inlineStr">
        <is>
          <t>LJV202</t>
        </is>
      </c>
      <c r="C196" s="16" t="inlineStr">
        <is>
          <t>LOJA_VIVARA</t>
        </is>
      </c>
      <c r="D196" s="16" t="inlineStr">
        <is>
          <t>PRODUTO_ACABADO</t>
        </is>
      </c>
      <c r="E196" s="16" t="inlineStr">
        <is>
          <t>JOIAS</t>
        </is>
      </c>
      <c r="F196" s="16" t="inlineStr">
        <is>
          <t>JOI-08829</t>
        </is>
      </c>
      <c r="G196" s="16" t="n">
        <v>1</v>
      </c>
      <c r="H196" s="16" t="n">
        <v>1449.69</v>
      </c>
      <c r="I196" s="16" t="n">
        <v>1449.69</v>
      </c>
      <c r="J196" s="16" t="n">
        <v>926913917.51</v>
      </c>
      <c r="K196" s="16" t="n">
        <v>1</v>
      </c>
      <c r="L196" s="16" t="n">
        <v>1449.69</v>
      </c>
      <c r="M196" s="16" t="n">
        <v>1449.69</v>
      </c>
      <c r="N196" s="16" t="n">
        <v>0</v>
      </c>
      <c r="O196" s="16" t="n">
        <v>0</v>
      </c>
      <c r="P196" s="16" t="b">
        <v>0</v>
      </c>
    </row>
    <row r="197">
      <c r="A197" s="16" t="inlineStr">
        <is>
          <t>SIM-EST-0323487</t>
        </is>
      </c>
      <c r="B197" s="16" t="inlineStr">
        <is>
          <t>LJV076</t>
        </is>
      </c>
      <c r="C197" s="16" t="inlineStr">
        <is>
          <t>LOJA_VIVARA</t>
        </is>
      </c>
      <c r="D197" s="16" t="inlineStr">
        <is>
          <t>PRODUTO_ACABADO</t>
        </is>
      </c>
      <c r="E197" s="16" t="inlineStr">
        <is>
          <t>JOIAS</t>
        </is>
      </c>
      <c r="F197" s="16" t="inlineStr">
        <is>
          <t>JOI-07771</t>
        </is>
      </c>
      <c r="G197" s="16" t="n">
        <v>2</v>
      </c>
      <c r="H197" s="16" t="n">
        <v>5247.32</v>
      </c>
      <c r="I197" s="16" t="n">
        <v>10494.64</v>
      </c>
      <c r="J197" s="16" t="n">
        <v>931778906.86</v>
      </c>
      <c r="K197" s="16" t="n">
        <v>2</v>
      </c>
      <c r="L197" s="16" t="n">
        <v>5247.32</v>
      </c>
      <c r="M197" s="16" t="n">
        <v>10494.64</v>
      </c>
      <c r="N197" s="16" t="n">
        <v>0</v>
      </c>
      <c r="O197" s="16" t="n">
        <v>0</v>
      </c>
      <c r="P197" s="16" t="b">
        <v>0</v>
      </c>
    </row>
    <row r="198">
      <c r="A198" s="16" t="inlineStr">
        <is>
          <t>SIM-EST-0325319</t>
        </is>
      </c>
      <c r="B198" s="16" t="inlineStr">
        <is>
          <t>LJV121</t>
        </is>
      </c>
      <c r="C198" s="16" t="inlineStr">
        <is>
          <t>LOJA_VIVARA</t>
        </is>
      </c>
      <c r="D198" s="16" t="inlineStr">
        <is>
          <t>PRODUTO_ACABADO</t>
        </is>
      </c>
      <c r="E198" s="16" t="inlineStr">
        <is>
          <t>JOIAS</t>
        </is>
      </c>
      <c r="F198" s="16" t="inlineStr">
        <is>
          <t>JOI-03994</t>
        </is>
      </c>
      <c r="G198" s="16" t="n">
        <v>3</v>
      </c>
      <c r="H198" s="16" t="n">
        <v>664.87</v>
      </c>
      <c r="I198" s="16" t="n">
        <v>1994.61</v>
      </c>
      <c r="J198" s="16" t="n">
        <v>936643896.2</v>
      </c>
      <c r="K198" s="16" t="n">
        <v>3</v>
      </c>
      <c r="L198" s="16" t="n">
        <v>664.87</v>
      </c>
      <c r="M198" s="16" t="n">
        <v>1994.61</v>
      </c>
      <c r="N198" s="16" t="n">
        <v>0</v>
      </c>
      <c r="O198" s="16" t="n">
        <v>0</v>
      </c>
      <c r="P198" s="16" t="b">
        <v>0</v>
      </c>
    </row>
    <row r="199">
      <c r="A199" s="16" t="inlineStr">
        <is>
          <t>SIM-EST-0326889</t>
        </is>
      </c>
      <c r="B199" s="16" t="inlineStr">
        <is>
          <t>LJV062</t>
        </is>
      </c>
      <c r="C199" s="16" t="inlineStr">
        <is>
          <t>LOJA_VIVARA</t>
        </is>
      </c>
      <c r="D199" s="16" t="inlineStr">
        <is>
          <t>PRODUTO_ACABADO</t>
        </is>
      </c>
      <c r="E199" s="16" t="inlineStr">
        <is>
          <t>RELOGIOS</t>
        </is>
      </c>
      <c r="F199" s="16" t="inlineStr">
        <is>
          <t>REL-01216</t>
        </is>
      </c>
      <c r="G199" s="16" t="n">
        <v>3</v>
      </c>
      <c r="H199" s="16" t="n">
        <v>822.47</v>
      </c>
      <c r="I199" s="16" t="n">
        <v>2467.41</v>
      </c>
      <c r="J199" s="16" t="n">
        <v>941508885.55</v>
      </c>
      <c r="K199" s="16" t="n">
        <v>3</v>
      </c>
      <c r="L199" s="16" t="n">
        <v>822.47</v>
      </c>
      <c r="M199" s="16" t="n">
        <v>2467.41</v>
      </c>
      <c r="N199" s="16" t="n">
        <v>0</v>
      </c>
      <c r="O199" s="16" t="n">
        <v>0</v>
      </c>
      <c r="P199" s="16" t="b">
        <v>0</v>
      </c>
    </row>
    <row r="200">
      <c r="A200" s="16" t="inlineStr">
        <is>
          <t>SIM-EST-0328108</t>
        </is>
      </c>
      <c r="B200" s="16" t="inlineStr">
        <is>
          <t>FIL-SP</t>
        </is>
      </c>
      <c r="C200" s="16" t="inlineStr">
        <is>
          <t>FILIAL_COMPRAS</t>
        </is>
      </c>
      <c r="D200" s="16" t="inlineStr">
        <is>
          <t>MATERIA_PRIMA</t>
        </is>
      </c>
      <c r="E200" s="16" t="inlineStr">
        <is>
          <t>OURO</t>
        </is>
      </c>
      <c r="F200" s="16" t="inlineStr">
        <is>
          <t>MP-OUR-00429</t>
        </is>
      </c>
      <c r="G200" s="16" t="n">
        <v>2307.75</v>
      </c>
      <c r="H200" s="16" t="n">
        <v>364.34</v>
      </c>
      <c r="I200" s="16" t="n">
        <v>840805.63</v>
      </c>
      <c r="J200" s="16" t="n">
        <v>946373874.89</v>
      </c>
      <c r="K200" s="16" t="n">
        <v>2307.75</v>
      </c>
      <c r="L200" s="16" t="n">
        <v>364.34</v>
      </c>
      <c r="M200" s="16" t="n">
        <v>840805.63</v>
      </c>
      <c r="N200" s="16" t="n">
        <v>0</v>
      </c>
      <c r="O200" s="16" t="n">
        <v>0</v>
      </c>
      <c r="P200" s="16" t="b">
        <v>0</v>
      </c>
    </row>
    <row r="201">
      <c r="A201" s="16" t="inlineStr">
        <is>
          <t>SIM-EST-0330200</t>
        </is>
      </c>
      <c r="B201" s="16" t="inlineStr">
        <is>
          <t>LJV068</t>
        </is>
      </c>
      <c r="C201" s="16" t="inlineStr">
        <is>
          <t>LOJA_VIVARA</t>
        </is>
      </c>
      <c r="D201" s="16" t="inlineStr">
        <is>
          <t>PRODUTO_ACABADO</t>
        </is>
      </c>
      <c r="E201" s="16" t="inlineStr">
        <is>
          <t>JOIAS</t>
        </is>
      </c>
      <c r="F201" s="16" t="inlineStr">
        <is>
          <t>JOI-09722</t>
        </is>
      </c>
      <c r="G201" s="16" t="n">
        <v>3</v>
      </c>
      <c r="H201" s="16" t="n">
        <v>1227.07</v>
      </c>
      <c r="I201" s="16" t="n">
        <v>3681.21</v>
      </c>
      <c r="J201" s="16" t="n">
        <v>951238864.24</v>
      </c>
      <c r="K201" s="16" t="n">
        <v>3</v>
      </c>
      <c r="L201" s="16" t="n">
        <v>1227.07</v>
      </c>
      <c r="M201" s="16" t="n">
        <v>3681.21</v>
      </c>
      <c r="N201" s="16" t="n">
        <v>0</v>
      </c>
      <c r="O201" s="16" t="n">
        <v>0</v>
      </c>
      <c r="P201" s="16" t="b">
        <v>0</v>
      </c>
    </row>
    <row r="202">
      <c r="A202" s="16" t="inlineStr">
        <is>
          <t>SIM-EST-0332421</t>
        </is>
      </c>
      <c r="B202" s="16" t="inlineStr">
        <is>
          <t>CD02</t>
        </is>
      </c>
      <c r="C202" s="16" t="inlineStr">
        <is>
          <t>CENTRO_DISTRIBUICAO</t>
        </is>
      </c>
      <c r="D202" s="16" t="inlineStr">
        <is>
          <t>PRODUTO_ACABADO</t>
        </is>
      </c>
      <c r="E202" s="16" t="inlineStr">
        <is>
          <t>JOIAS</t>
        </is>
      </c>
      <c r="F202" s="16" t="inlineStr">
        <is>
          <t>JOI-02963</t>
        </is>
      </c>
      <c r="G202" s="16" t="n">
        <v>52</v>
      </c>
      <c r="H202" s="16" t="n">
        <v>3115.19</v>
      </c>
      <c r="I202" s="16" t="n">
        <v>161989.88</v>
      </c>
      <c r="J202" s="16" t="n">
        <v>956103853.58</v>
      </c>
      <c r="K202" s="16" t="n">
        <v>52</v>
      </c>
      <c r="L202" s="16" t="n">
        <v>3115.19</v>
      </c>
      <c r="M202" s="16" t="n">
        <v>161989.88</v>
      </c>
      <c r="N202" s="16" t="n">
        <v>0</v>
      </c>
      <c r="O202" s="16" t="n">
        <v>0</v>
      </c>
      <c r="P202" s="16" t="b">
        <v>0</v>
      </c>
    </row>
    <row r="203">
      <c r="A203" s="16" t="inlineStr">
        <is>
          <t>SIM-EST-0334087</t>
        </is>
      </c>
      <c r="B203" s="16" t="inlineStr">
        <is>
          <t>LJV081</t>
        </is>
      </c>
      <c r="C203" s="16" t="inlineStr">
        <is>
          <t>LOJA_VIVARA</t>
        </is>
      </c>
      <c r="D203" s="16" t="inlineStr">
        <is>
          <t>PRODUTO_ACABADO</t>
        </is>
      </c>
      <c r="E203" s="16" t="inlineStr">
        <is>
          <t>JOIAS</t>
        </is>
      </c>
      <c r="F203" s="16" t="inlineStr">
        <is>
          <t>JOI-04719</t>
        </is>
      </c>
      <c r="G203" s="16" t="n">
        <v>3</v>
      </c>
      <c r="H203" s="16" t="n">
        <v>1106.64</v>
      </c>
      <c r="I203" s="16" t="n">
        <v>3319.92</v>
      </c>
      <c r="J203" s="16" t="n">
        <v>960968842.9299999</v>
      </c>
      <c r="K203" s="16" t="n">
        <v>3</v>
      </c>
      <c r="L203" s="16" t="n">
        <v>1106.64</v>
      </c>
      <c r="M203" s="16" t="n">
        <v>3319.92</v>
      </c>
      <c r="N203" s="16" t="n">
        <v>0</v>
      </c>
      <c r="O203" s="16" t="n">
        <v>0</v>
      </c>
      <c r="P203" s="16" t="b">
        <v>0</v>
      </c>
    </row>
    <row r="204">
      <c r="A204" s="16" t="inlineStr">
        <is>
          <t>SIM-EST-0335796</t>
        </is>
      </c>
      <c r="B204" s="16" t="inlineStr">
        <is>
          <t>FAB-MAO</t>
        </is>
      </c>
      <c r="C204" s="16" t="inlineStr">
        <is>
          <t>FABRICA</t>
        </is>
      </c>
      <c r="D204" s="16" t="inlineStr">
        <is>
          <t>MATERIA_PRIMA</t>
        </is>
      </c>
      <c r="E204" s="16" t="inlineStr">
        <is>
          <t>OURO</t>
        </is>
      </c>
      <c r="F204" s="16" t="inlineStr">
        <is>
          <t>MP-OUR-00143</t>
        </is>
      </c>
      <c r="G204" s="16" t="n">
        <v>476.73</v>
      </c>
      <c r="H204" s="16" t="n">
        <v>359.58</v>
      </c>
      <c r="I204" s="16" t="n">
        <v>171422.57</v>
      </c>
      <c r="J204" s="16" t="n">
        <v>965833832.27</v>
      </c>
      <c r="K204" s="16" t="n">
        <v>476.73</v>
      </c>
      <c r="L204" s="16" t="n">
        <v>359.58</v>
      </c>
      <c r="M204" s="16" t="n">
        <v>171422.57</v>
      </c>
      <c r="N204" s="16" t="n">
        <v>0</v>
      </c>
      <c r="O204" s="16" t="n">
        <v>0</v>
      </c>
      <c r="P204" s="16" t="b">
        <v>0</v>
      </c>
    </row>
    <row r="205">
      <c r="A205" s="16" t="inlineStr">
        <is>
          <t>SIM-EST-0337331</t>
        </is>
      </c>
      <c r="B205" s="16" t="inlineStr">
        <is>
          <t>LJV201</t>
        </is>
      </c>
      <c r="C205" s="16" t="inlineStr">
        <is>
          <t>LOJA_VIVARA</t>
        </is>
      </c>
      <c r="D205" s="16" t="inlineStr">
        <is>
          <t>PRODUTO_ACABADO</t>
        </is>
      </c>
      <c r="E205" s="16" t="inlineStr">
        <is>
          <t>JOIAS</t>
        </is>
      </c>
      <c r="F205" s="16" t="inlineStr">
        <is>
          <t>JOI-09421</t>
        </is>
      </c>
      <c r="G205" s="16" t="n">
        <v>2</v>
      </c>
      <c r="H205" s="16" t="n">
        <v>6014.74</v>
      </c>
      <c r="I205" s="16" t="n">
        <v>12029.48</v>
      </c>
      <c r="J205" s="16" t="n">
        <v>970698821.62</v>
      </c>
      <c r="K205" s="16" t="n">
        <v>2</v>
      </c>
      <c r="L205" s="16" t="n">
        <v>6014.74</v>
      </c>
      <c r="M205" s="16" t="n">
        <v>12029.48</v>
      </c>
      <c r="N205" s="16" t="n">
        <v>0</v>
      </c>
      <c r="O205" s="16" t="n">
        <v>0</v>
      </c>
      <c r="P205" s="16" t="b">
        <v>0</v>
      </c>
    </row>
    <row r="206">
      <c r="A206" s="16" t="inlineStr">
        <is>
          <t>SIM-EST-0339141</t>
        </is>
      </c>
      <c r="B206" s="16" t="inlineStr">
        <is>
          <t>FAB-MAO</t>
        </is>
      </c>
      <c r="C206" s="16" t="inlineStr">
        <is>
          <t>FABRICA</t>
        </is>
      </c>
      <c r="D206" s="16" t="inlineStr">
        <is>
          <t>PRODUTO_ACABADO</t>
        </is>
      </c>
      <c r="E206" s="16" t="inlineStr">
        <is>
          <t>JOIAS</t>
        </is>
      </c>
      <c r="F206" s="16" t="inlineStr">
        <is>
          <t>JOI-06823</t>
        </is>
      </c>
      <c r="G206" s="16" t="n">
        <v>69</v>
      </c>
      <c r="H206" s="16" t="n">
        <v>1365.99</v>
      </c>
      <c r="I206" s="16" t="n">
        <v>94253.31</v>
      </c>
      <c r="J206" s="16" t="n">
        <v>975563810.96</v>
      </c>
      <c r="K206" s="16" t="n">
        <v>69</v>
      </c>
      <c r="L206" s="16" t="n">
        <v>1365.99</v>
      </c>
      <c r="M206" s="16" t="n">
        <v>94253.31</v>
      </c>
      <c r="N206" s="16" t="n">
        <v>0</v>
      </c>
      <c r="O206" s="16" t="n">
        <v>0</v>
      </c>
      <c r="P206" s="16" t="b">
        <v>0</v>
      </c>
    </row>
    <row r="207">
      <c r="A207" s="16" t="inlineStr">
        <is>
          <t>SIM-EST-0341071</t>
        </is>
      </c>
      <c r="B207" s="16" t="inlineStr">
        <is>
          <t>CD02</t>
        </is>
      </c>
      <c r="C207" s="16" t="inlineStr">
        <is>
          <t>CENTRO_DISTRIBUICAO</t>
        </is>
      </c>
      <c r="D207" s="16" t="inlineStr">
        <is>
          <t>PRODUTO_ACABADO</t>
        </is>
      </c>
      <c r="E207" s="16" t="inlineStr">
        <is>
          <t>JOIAS</t>
        </is>
      </c>
      <c r="F207" s="16" t="inlineStr">
        <is>
          <t>JOI-05410</t>
        </is>
      </c>
      <c r="G207" s="16" t="n">
        <v>12</v>
      </c>
      <c r="H207" s="16" t="n">
        <v>3604.92</v>
      </c>
      <c r="I207" s="16" t="n">
        <v>43259.04</v>
      </c>
      <c r="J207" s="16" t="n">
        <v>980428800.3099999</v>
      </c>
      <c r="K207" s="16" t="n">
        <v>12</v>
      </c>
      <c r="L207" s="16" t="n">
        <v>3604.92</v>
      </c>
      <c r="M207" s="16" t="n">
        <v>43259.04</v>
      </c>
      <c r="N207" s="16" t="n">
        <v>0</v>
      </c>
      <c r="O207" s="16" t="n">
        <v>0</v>
      </c>
      <c r="P207" s="16" t="b">
        <v>0</v>
      </c>
    </row>
    <row r="208">
      <c r="A208" s="16" t="inlineStr">
        <is>
          <t>SIM-EST-0342736</t>
        </is>
      </c>
      <c r="B208" s="16" t="inlineStr">
        <is>
          <t>LJV217</t>
        </is>
      </c>
      <c r="C208" s="16" t="inlineStr">
        <is>
          <t>LOJA_VIVARA</t>
        </is>
      </c>
      <c r="D208" s="16" t="inlineStr">
        <is>
          <t>PRODUTO_ACABADO</t>
        </is>
      </c>
      <c r="E208" s="16" t="inlineStr">
        <is>
          <t>JOIAS</t>
        </is>
      </c>
      <c r="F208" s="16" t="inlineStr">
        <is>
          <t>JOI-10314</t>
        </is>
      </c>
      <c r="G208" s="16" t="n">
        <v>2</v>
      </c>
      <c r="H208" s="16" t="n">
        <v>1309.84</v>
      </c>
      <c r="I208" s="16" t="n">
        <v>2619.68</v>
      </c>
      <c r="J208" s="16" t="n">
        <v>985293789.65</v>
      </c>
      <c r="K208" s="16" t="n">
        <v>2</v>
      </c>
      <c r="L208" s="16" t="n">
        <v>1309.84</v>
      </c>
      <c r="M208" s="16" t="n">
        <v>2619.68</v>
      </c>
      <c r="N208" s="16" t="n">
        <v>0</v>
      </c>
      <c r="O208" s="16" t="n">
        <v>0</v>
      </c>
      <c r="P208" s="16" t="b">
        <v>0</v>
      </c>
    </row>
    <row r="209">
      <c r="A209" s="16" t="inlineStr">
        <is>
          <t>SIM-EST-0344481</t>
        </is>
      </c>
      <c r="B209" s="16" t="inlineStr">
        <is>
          <t>CD01</t>
        </is>
      </c>
      <c r="C209" s="16" t="inlineStr">
        <is>
          <t>CENTRO_DISTRIBUICAO</t>
        </is>
      </c>
      <c r="D209" s="16" t="inlineStr">
        <is>
          <t>PRODUTO_ACABADO</t>
        </is>
      </c>
      <c r="E209" s="16" t="inlineStr">
        <is>
          <t>JOIAS</t>
        </is>
      </c>
      <c r="F209" s="16" t="inlineStr">
        <is>
          <t>JOI-00789</t>
        </is>
      </c>
      <c r="G209" s="16" t="n">
        <v>79</v>
      </c>
      <c r="H209" s="16" t="n">
        <v>2097.72</v>
      </c>
      <c r="I209" s="16" t="n">
        <v>165719.88</v>
      </c>
      <c r="J209" s="16" t="n">
        <v>990158779</v>
      </c>
      <c r="K209" s="16" t="n">
        <v>79</v>
      </c>
      <c r="L209" s="16" t="n">
        <v>2097.72</v>
      </c>
      <c r="M209" s="16" t="n">
        <v>165719.88</v>
      </c>
      <c r="N209" s="16" t="n">
        <v>0</v>
      </c>
      <c r="O209" s="16" t="n">
        <v>0</v>
      </c>
      <c r="P209" s="16" t="b">
        <v>0</v>
      </c>
    </row>
    <row r="210">
      <c r="A210" s="16" t="inlineStr">
        <is>
          <t>SIM-EST-0346554</t>
        </is>
      </c>
      <c r="B210" s="16" t="inlineStr">
        <is>
          <t>LJV234</t>
        </is>
      </c>
      <c r="C210" s="16" t="inlineStr">
        <is>
          <t>LOJA_VIVARA</t>
        </is>
      </c>
      <c r="D210" s="16" t="inlineStr">
        <is>
          <t>PRODUTO_ACABADO</t>
        </is>
      </c>
      <c r="E210" s="16" t="inlineStr">
        <is>
          <t>RELOGIOS</t>
        </is>
      </c>
      <c r="F210" s="16" t="inlineStr">
        <is>
          <t>REL-01936</t>
        </is>
      </c>
      <c r="G210" s="16" t="n">
        <v>2</v>
      </c>
      <c r="H210" s="16" t="n">
        <v>382.34</v>
      </c>
      <c r="I210" s="16" t="n">
        <v>764.6799999999999</v>
      </c>
      <c r="J210" s="16" t="n">
        <v>995023768.34</v>
      </c>
      <c r="K210" s="16" t="n">
        <v>2</v>
      </c>
      <c r="L210" s="16" t="n">
        <v>382.34</v>
      </c>
      <c r="M210" s="16" t="n">
        <v>764.6799999999999</v>
      </c>
      <c r="N210" s="16" t="n">
        <v>0</v>
      </c>
      <c r="O210" s="16" t="n">
        <v>0</v>
      </c>
      <c r="P210" s="16" t="b">
        <v>0</v>
      </c>
    </row>
    <row r="211">
      <c r="A211" s="16" t="inlineStr">
        <is>
          <t>SIM-EST-0348138</t>
        </is>
      </c>
      <c r="B211" s="16" t="inlineStr">
        <is>
          <t>CD02</t>
        </is>
      </c>
      <c r="C211" s="16" t="inlineStr">
        <is>
          <t>CENTRO_DISTRIBUICAO</t>
        </is>
      </c>
      <c r="D211" s="16" t="inlineStr">
        <is>
          <t>PRODUTO_ACABADO</t>
        </is>
      </c>
      <c r="E211" s="16" t="inlineStr">
        <is>
          <t>JOIAS</t>
        </is>
      </c>
      <c r="F211" s="16" t="inlineStr">
        <is>
          <t>JOI-09469</t>
        </is>
      </c>
      <c r="G211" s="16" t="n">
        <v>48</v>
      </c>
      <c r="H211" s="16" t="n">
        <v>5102.01</v>
      </c>
      <c r="I211" s="16" t="n">
        <v>244896.48</v>
      </c>
      <c r="J211" s="16" t="n">
        <v>999888757.6799999</v>
      </c>
      <c r="K211" s="16" t="n">
        <v>48</v>
      </c>
      <c r="L211" s="16" t="n">
        <v>5102.01</v>
      </c>
      <c r="M211" s="16" t="n">
        <v>244896.48</v>
      </c>
      <c r="N211" s="16" t="n">
        <v>0</v>
      </c>
      <c r="O211" s="16" t="n">
        <v>0</v>
      </c>
      <c r="P211" s="16" t="b">
        <v>0</v>
      </c>
    </row>
    <row r="212">
      <c r="A212" s="16" t="inlineStr">
        <is>
          <t>SIM-EST-0350130</t>
        </is>
      </c>
      <c r="B212" s="16" t="inlineStr">
        <is>
          <t>LJV164</t>
        </is>
      </c>
      <c r="C212" s="16" t="inlineStr">
        <is>
          <t>LOJA_VIVARA</t>
        </is>
      </c>
      <c r="D212" s="16" t="inlineStr">
        <is>
          <t>PRODUTO_ACABADO</t>
        </is>
      </c>
      <c r="E212" s="16" t="inlineStr">
        <is>
          <t>JOIAS</t>
        </is>
      </c>
      <c r="F212" s="16" t="inlineStr">
        <is>
          <t>JOI-06428</t>
        </is>
      </c>
      <c r="G212" s="16" t="n">
        <v>6</v>
      </c>
      <c r="H212" s="16" t="n">
        <v>1182.73</v>
      </c>
      <c r="I212" s="16" t="n">
        <v>7096.38</v>
      </c>
      <c r="J212" s="16" t="n">
        <v>1004753747.03</v>
      </c>
      <c r="K212" s="16" t="n">
        <v>6</v>
      </c>
      <c r="L212" s="16" t="n">
        <v>1182.73</v>
      </c>
      <c r="M212" s="16" t="n">
        <v>7096.38</v>
      </c>
      <c r="N212" s="16" t="n">
        <v>0</v>
      </c>
      <c r="O212" s="16" t="n">
        <v>0</v>
      </c>
      <c r="P212" s="16" t="b">
        <v>0</v>
      </c>
    </row>
    <row r="213">
      <c r="A213" s="16" t="inlineStr">
        <is>
          <t>SIM-EST-0351839</t>
        </is>
      </c>
      <c r="B213" s="16" t="inlineStr">
        <is>
          <t>CD01</t>
        </is>
      </c>
      <c r="C213" s="16" t="inlineStr">
        <is>
          <t>CENTRO_DISTRIBUICAO</t>
        </is>
      </c>
      <c r="D213" s="16" t="inlineStr">
        <is>
          <t>PRODUTO_ACABADO</t>
        </is>
      </c>
      <c r="E213" s="16" t="inlineStr">
        <is>
          <t>JOIAS</t>
        </is>
      </c>
      <c r="F213" s="16" t="inlineStr">
        <is>
          <t>JOI-11272</t>
        </is>
      </c>
      <c r="G213" s="16" t="n">
        <v>24</v>
      </c>
      <c r="H213" s="16" t="n">
        <v>2982</v>
      </c>
      <c r="I213" s="16" t="n">
        <v>71568</v>
      </c>
      <c r="J213" s="16" t="n">
        <v>1009618736.37</v>
      </c>
      <c r="K213" s="16" t="n">
        <v>24</v>
      </c>
      <c r="L213" s="16" t="n">
        <v>2982</v>
      </c>
      <c r="M213" s="16" t="n">
        <v>71568</v>
      </c>
      <c r="N213" s="16" t="n">
        <v>0</v>
      </c>
      <c r="O213" s="16" t="n">
        <v>0</v>
      </c>
      <c r="P213" s="16" t="b">
        <v>0</v>
      </c>
    </row>
    <row r="214">
      <c r="A214" s="16" t="inlineStr">
        <is>
          <t>SIM-EST-0353649</t>
        </is>
      </c>
      <c r="B214" s="16" t="inlineStr">
        <is>
          <t>LJL124</t>
        </is>
      </c>
      <c r="C214" s="16" t="inlineStr">
        <is>
          <t>LOJA_LIFE</t>
        </is>
      </c>
      <c r="D214" s="16" t="inlineStr">
        <is>
          <t>PRODUTO_ACABADO</t>
        </is>
      </c>
      <c r="E214" s="16" t="inlineStr">
        <is>
          <t>LIFE</t>
        </is>
      </c>
      <c r="F214" s="16" t="inlineStr">
        <is>
          <t>LIF-02796</t>
        </is>
      </c>
      <c r="G214" s="16" t="n">
        <v>5</v>
      </c>
      <c r="H214" s="16" t="n">
        <v>71.08</v>
      </c>
      <c r="I214" s="16" t="n">
        <v>355.4</v>
      </c>
      <c r="J214" s="16" t="n">
        <v>1014483725.72</v>
      </c>
      <c r="K214" s="16" t="n">
        <v>5</v>
      </c>
      <c r="L214" s="16" t="n">
        <v>71.08</v>
      </c>
      <c r="M214" s="16" t="n">
        <v>355.4</v>
      </c>
      <c r="N214" s="16" t="n">
        <v>0</v>
      </c>
      <c r="O214" s="16" t="n">
        <v>0</v>
      </c>
      <c r="P214" s="16" t="b">
        <v>0</v>
      </c>
    </row>
    <row r="215">
      <c r="A215" s="16" t="inlineStr">
        <is>
          <t>SIM-EST-0355340</t>
        </is>
      </c>
      <c r="B215" s="16" t="inlineStr">
        <is>
          <t>FAB-MAO</t>
        </is>
      </c>
      <c r="C215" s="16" t="inlineStr">
        <is>
          <t>FABRICA</t>
        </is>
      </c>
      <c r="D215" s="16" t="inlineStr">
        <is>
          <t>MATERIA_PRIMA</t>
        </is>
      </c>
      <c r="E215" s="16" t="inlineStr">
        <is>
          <t>OURO</t>
        </is>
      </c>
      <c r="F215" s="16" t="inlineStr">
        <is>
          <t>MP-OUR-00475</t>
        </is>
      </c>
      <c r="G215" s="16" t="n">
        <v>520.96</v>
      </c>
      <c r="H215" s="16" t="n">
        <v>359.69</v>
      </c>
      <c r="I215" s="16" t="n">
        <v>187384.1</v>
      </c>
      <c r="J215" s="16" t="n">
        <v>1019348715.06</v>
      </c>
      <c r="K215" s="16" t="n">
        <v>520.96</v>
      </c>
      <c r="L215" s="16" t="n">
        <v>359.69</v>
      </c>
      <c r="M215" s="16" t="n">
        <v>187384.1</v>
      </c>
      <c r="N215" s="16" t="n">
        <v>0</v>
      </c>
      <c r="O215" s="16" t="n">
        <v>0</v>
      </c>
      <c r="P215" s="16" t="b">
        <v>0</v>
      </c>
    </row>
    <row r="216">
      <c r="A216" s="16" t="inlineStr">
        <is>
          <t>SIM-EST-0357086</t>
        </is>
      </c>
      <c r="B216" s="16" t="inlineStr">
        <is>
          <t>LJV172</t>
        </is>
      </c>
      <c r="C216" s="16" t="inlineStr">
        <is>
          <t>LOJA_VIVARA</t>
        </is>
      </c>
      <c r="D216" s="16" t="inlineStr">
        <is>
          <t>MAT_CONSUMO_EMBALAGEM</t>
        </is>
      </c>
      <c r="E216" s="16" t="inlineStr">
        <is>
          <t>EMBALAGEM</t>
        </is>
      </c>
      <c r="F216" s="16" t="inlineStr">
        <is>
          <t>EMB-00240</t>
        </is>
      </c>
      <c r="G216" s="16" t="n">
        <v>239</v>
      </c>
      <c r="H216" s="16" t="n">
        <v>208.62</v>
      </c>
      <c r="I216" s="16" t="n">
        <v>49860.18</v>
      </c>
      <c r="J216" s="16" t="n">
        <v>1024213704.41</v>
      </c>
      <c r="K216" s="16" t="n">
        <v>239</v>
      </c>
      <c r="L216" s="16" t="n">
        <v>208.62</v>
      </c>
      <c r="M216" s="16" t="n">
        <v>49860.18</v>
      </c>
      <c r="N216" s="16" t="n">
        <v>0</v>
      </c>
      <c r="O216" s="16" t="n">
        <v>0</v>
      </c>
      <c r="P216" s="16" t="b">
        <v>0</v>
      </c>
    </row>
    <row r="217">
      <c r="A217" s="16" t="inlineStr">
        <is>
          <t>SIM-EST-0358928</t>
        </is>
      </c>
      <c r="B217" s="16" t="inlineStr">
        <is>
          <t>CD01</t>
        </is>
      </c>
      <c r="C217" s="16" t="inlineStr">
        <is>
          <t>CENTRO_DISTRIBUICAO</t>
        </is>
      </c>
      <c r="D217" s="16" t="inlineStr">
        <is>
          <t>PRODUTO_ACABADO</t>
        </is>
      </c>
      <c r="E217" s="16" t="inlineStr">
        <is>
          <t>JOIAS</t>
        </is>
      </c>
      <c r="F217" s="16" t="inlineStr">
        <is>
          <t>JOI-01582</t>
        </is>
      </c>
      <c r="G217" s="16" t="n">
        <v>99</v>
      </c>
      <c r="H217" s="16" t="n">
        <v>1860.78</v>
      </c>
      <c r="I217" s="16" t="n">
        <v>184217.22</v>
      </c>
      <c r="J217" s="16" t="n">
        <v>1029078693.75</v>
      </c>
      <c r="K217" s="16" t="n">
        <v>99</v>
      </c>
      <c r="L217" s="16" t="n">
        <v>1860.78</v>
      </c>
      <c r="M217" s="16" t="n">
        <v>184217.22</v>
      </c>
      <c r="N217" s="16" t="n">
        <v>0</v>
      </c>
      <c r="O217" s="16" t="n">
        <v>0</v>
      </c>
      <c r="P217" s="16" t="b">
        <v>0</v>
      </c>
    </row>
    <row r="218">
      <c r="A218" s="16" t="inlineStr">
        <is>
          <t>SIM-EST-0360706</t>
        </is>
      </c>
      <c r="B218" s="16" t="inlineStr">
        <is>
          <t>CD01</t>
        </is>
      </c>
      <c r="C218" s="16" t="inlineStr">
        <is>
          <t>CENTRO_DISTRIBUICAO</t>
        </is>
      </c>
      <c r="D218" s="16" t="inlineStr">
        <is>
          <t>PRODUTO_ACABADO</t>
        </is>
      </c>
      <c r="E218" s="16" t="inlineStr">
        <is>
          <t>JOIAS</t>
        </is>
      </c>
      <c r="F218" s="16" t="inlineStr">
        <is>
          <t>JOI-01320</t>
        </is>
      </c>
      <c r="G218" s="16" t="n">
        <v>68</v>
      </c>
      <c r="H218" s="16" t="n">
        <v>489.86</v>
      </c>
      <c r="I218" s="16" t="n">
        <v>33310.48</v>
      </c>
      <c r="J218" s="16" t="n">
        <v>1033943683.1</v>
      </c>
      <c r="K218" s="16" t="n">
        <v>68</v>
      </c>
      <c r="L218" s="16" t="n">
        <v>489.86</v>
      </c>
      <c r="M218" s="16" t="n">
        <v>33310.48</v>
      </c>
      <c r="N218" s="16" t="n">
        <v>0</v>
      </c>
      <c r="O218" s="16" t="n">
        <v>0</v>
      </c>
      <c r="P218" s="16" t="b">
        <v>0</v>
      </c>
    </row>
    <row r="219">
      <c r="A219" s="16" t="inlineStr">
        <is>
          <t>SIM-EST-0362419</t>
        </is>
      </c>
      <c r="B219" s="16" t="inlineStr">
        <is>
          <t>FAB-MAO</t>
        </is>
      </c>
      <c r="C219" s="16" t="inlineStr">
        <is>
          <t>FABRICA</t>
        </is>
      </c>
      <c r="D219" s="16" t="inlineStr">
        <is>
          <t>MATERIA_PRIMA</t>
        </is>
      </c>
      <c r="E219" s="16" t="inlineStr">
        <is>
          <t>OURO</t>
        </is>
      </c>
      <c r="F219" s="16" t="inlineStr">
        <is>
          <t>MP-OUR-00819</t>
        </is>
      </c>
      <c r="G219" s="16" t="n">
        <v>706.0599999999999</v>
      </c>
      <c r="H219" s="16" t="n">
        <v>359.41</v>
      </c>
      <c r="I219" s="16" t="n">
        <v>253765.02</v>
      </c>
      <c r="J219" s="16" t="n">
        <v>1038808672.44</v>
      </c>
      <c r="K219" s="16" t="n">
        <v>706.0599999999999</v>
      </c>
      <c r="L219" s="16" t="n">
        <v>359.41</v>
      </c>
      <c r="M219" s="16" t="n">
        <v>253765.02</v>
      </c>
      <c r="N219" s="16" t="n">
        <v>0</v>
      </c>
      <c r="O219" s="16" t="n">
        <v>0</v>
      </c>
      <c r="P219" s="16" t="b">
        <v>0</v>
      </c>
    </row>
    <row r="220">
      <c r="A220" s="16" t="inlineStr">
        <is>
          <t>SIM-EST-0363993</t>
        </is>
      </c>
      <c r="B220" s="16" t="inlineStr">
        <is>
          <t>LJV069</t>
        </is>
      </c>
      <c r="C220" s="16" t="inlineStr">
        <is>
          <t>LOJA_VIVARA</t>
        </is>
      </c>
      <c r="D220" s="16" t="inlineStr">
        <is>
          <t>PRODUTO_ACABADO</t>
        </is>
      </c>
      <c r="E220" s="16" t="inlineStr">
        <is>
          <t>JOIAS</t>
        </is>
      </c>
      <c r="F220" s="16" t="inlineStr">
        <is>
          <t>JOI-10564</t>
        </is>
      </c>
      <c r="G220" s="16" t="n">
        <v>3</v>
      </c>
      <c r="H220" s="16" t="n">
        <v>635.55</v>
      </c>
      <c r="I220" s="16" t="n">
        <v>1906.65</v>
      </c>
      <c r="J220" s="16" t="n">
        <v>1043673661.79</v>
      </c>
      <c r="K220" s="16" t="n">
        <v>3</v>
      </c>
      <c r="L220" s="16" t="n">
        <v>635.55</v>
      </c>
      <c r="M220" s="16" t="n">
        <v>1906.65</v>
      </c>
      <c r="N220" s="16" t="n">
        <v>0</v>
      </c>
      <c r="O220" s="16" t="n">
        <v>0</v>
      </c>
      <c r="P220" s="16" t="b">
        <v>0</v>
      </c>
    </row>
    <row r="221">
      <c r="A221" s="16" t="inlineStr">
        <is>
          <t>SIM-EST-0365677</t>
        </is>
      </c>
      <c r="B221" s="16" t="inlineStr">
        <is>
          <t>CD02</t>
        </is>
      </c>
      <c r="C221" s="16" t="inlineStr">
        <is>
          <t>CENTRO_DISTRIBUICAO</t>
        </is>
      </c>
      <c r="D221" s="16" t="inlineStr">
        <is>
          <t>PRODUTO_ACABADO</t>
        </is>
      </c>
      <c r="E221" s="16" t="inlineStr">
        <is>
          <t>RELOGIOS</t>
        </is>
      </c>
      <c r="F221" s="16" t="inlineStr">
        <is>
          <t>REL-02758</t>
        </is>
      </c>
      <c r="G221" s="16" t="n">
        <v>57</v>
      </c>
      <c r="H221" s="16" t="n">
        <v>821.1</v>
      </c>
      <c r="I221" s="16" t="n">
        <v>46802.7</v>
      </c>
      <c r="J221" s="16" t="n">
        <v>1048538651.13</v>
      </c>
      <c r="K221" s="16" t="n">
        <v>57</v>
      </c>
      <c r="L221" s="16" t="n">
        <v>821.1</v>
      </c>
      <c r="M221" s="16" t="n">
        <v>46802.7</v>
      </c>
      <c r="N221" s="16" t="n">
        <v>0</v>
      </c>
      <c r="O221" s="16" t="n">
        <v>0</v>
      </c>
      <c r="P221" s="16" t="b">
        <v>0</v>
      </c>
    </row>
    <row r="222">
      <c r="A222" s="16" t="inlineStr">
        <is>
          <t>SIM-EST-0367481</t>
        </is>
      </c>
      <c r="B222" s="16" t="inlineStr">
        <is>
          <t>LJV069</t>
        </is>
      </c>
      <c r="C222" s="16" t="inlineStr">
        <is>
          <t>LOJA_VIVARA</t>
        </is>
      </c>
      <c r="D222" s="16" t="inlineStr">
        <is>
          <t>PRODUTO_ACABADO</t>
        </is>
      </c>
      <c r="E222" s="16" t="inlineStr">
        <is>
          <t>JOIAS</t>
        </is>
      </c>
      <c r="F222" s="16" t="inlineStr">
        <is>
          <t>JOI-11602</t>
        </is>
      </c>
      <c r="G222" s="16" t="n">
        <v>1</v>
      </c>
      <c r="H222" s="16" t="n">
        <v>4940.37</v>
      </c>
      <c r="I222" s="16" t="n">
        <v>4940.37</v>
      </c>
      <c r="J222" s="16" t="n">
        <v>1053403640.48</v>
      </c>
      <c r="K222" s="16" t="n">
        <v>1</v>
      </c>
      <c r="L222" s="16" t="n">
        <v>4940.37</v>
      </c>
      <c r="M222" s="16" t="n">
        <v>4940.37</v>
      </c>
      <c r="N222" s="16" t="n">
        <v>0</v>
      </c>
      <c r="O222" s="16" t="n">
        <v>0</v>
      </c>
      <c r="P222" s="16" t="b">
        <v>0</v>
      </c>
    </row>
    <row r="223">
      <c r="A223" s="16" t="inlineStr">
        <is>
          <t>SIM-EST-0369157</t>
        </is>
      </c>
      <c r="B223" s="16" t="inlineStr">
        <is>
          <t>FAB-MAO</t>
        </is>
      </c>
      <c r="C223" s="16" t="inlineStr">
        <is>
          <t>FABRICA</t>
        </is>
      </c>
      <c r="D223" s="16" t="inlineStr">
        <is>
          <t>MATERIA_PRIMA</t>
        </is>
      </c>
      <c r="E223" s="16" t="inlineStr">
        <is>
          <t>PRATA</t>
        </is>
      </c>
      <c r="F223" s="16" t="inlineStr">
        <is>
          <t>MP-PRA-00770</t>
        </is>
      </c>
      <c r="G223" s="16" t="n">
        <v>46639.82</v>
      </c>
      <c r="H223" s="16" t="n">
        <v>5.1</v>
      </c>
      <c r="I223" s="16" t="n">
        <v>237863.08</v>
      </c>
      <c r="J223" s="16" t="n">
        <v>1058268629.82</v>
      </c>
      <c r="K223" s="16" t="n">
        <v>46639.82</v>
      </c>
      <c r="L223" s="16" t="n">
        <v>5.1</v>
      </c>
      <c r="M223" s="16" t="n">
        <v>237863.08</v>
      </c>
      <c r="N223" s="16" t="n">
        <v>0</v>
      </c>
      <c r="O223" s="16" t="n">
        <v>0</v>
      </c>
      <c r="P223" s="16" t="b">
        <v>0</v>
      </c>
    </row>
    <row r="224">
      <c r="A224" s="16" t="inlineStr">
        <is>
          <t>SIM-EST-0370664</t>
        </is>
      </c>
      <c r="B224" s="16" t="inlineStr">
        <is>
          <t>LJV021</t>
        </is>
      </c>
      <c r="C224" s="16" t="inlineStr">
        <is>
          <t>LOJA_VIVARA</t>
        </is>
      </c>
      <c r="D224" s="16" t="inlineStr">
        <is>
          <t>PRODUTO_ACABADO</t>
        </is>
      </c>
      <c r="E224" s="16" t="inlineStr">
        <is>
          <t>RELOGIOS</t>
        </is>
      </c>
      <c r="F224" s="16" t="inlineStr">
        <is>
          <t>REL-03243</t>
        </is>
      </c>
      <c r="G224" s="16" t="n">
        <v>2</v>
      </c>
      <c r="H224" s="16" t="n">
        <v>301.23</v>
      </c>
      <c r="I224" s="16" t="n">
        <v>602.46</v>
      </c>
      <c r="J224" s="16" t="n">
        <v>1063133619.17</v>
      </c>
      <c r="K224" s="16" t="n">
        <v>2</v>
      </c>
      <c r="L224" s="16" t="n">
        <v>301.23</v>
      </c>
      <c r="M224" s="16" t="n">
        <v>602.46</v>
      </c>
      <c r="N224" s="16" t="n">
        <v>0</v>
      </c>
      <c r="O224" s="16" t="n">
        <v>0</v>
      </c>
      <c r="P224" s="16" t="b">
        <v>0</v>
      </c>
    </row>
    <row r="225">
      <c r="A225" s="16" t="inlineStr">
        <is>
          <t>SIM-EST-0372323</t>
        </is>
      </c>
      <c r="B225" s="16" t="inlineStr">
        <is>
          <t>LJV236</t>
        </is>
      </c>
      <c r="C225" s="16" t="inlineStr">
        <is>
          <t>LOJA_VIVARA</t>
        </is>
      </c>
      <c r="D225" s="16" t="inlineStr">
        <is>
          <t>PRODUTO_ACABADO</t>
        </is>
      </c>
      <c r="E225" s="16" t="inlineStr">
        <is>
          <t>JOIAS</t>
        </is>
      </c>
      <c r="F225" s="16" t="inlineStr">
        <is>
          <t>JOI-09553</t>
        </is>
      </c>
      <c r="G225" s="16" t="n">
        <v>2</v>
      </c>
      <c r="H225" s="16" t="n">
        <v>1330.99</v>
      </c>
      <c r="I225" s="16" t="n">
        <v>2661.98</v>
      </c>
      <c r="J225" s="16" t="n">
        <v>1067998608.51</v>
      </c>
      <c r="K225" s="16" t="n">
        <v>2</v>
      </c>
      <c r="L225" s="16" t="n">
        <v>1330.99</v>
      </c>
      <c r="M225" s="16" t="n">
        <v>2661.98</v>
      </c>
      <c r="N225" s="16" t="n">
        <v>0</v>
      </c>
      <c r="O225" s="16" t="n">
        <v>0</v>
      </c>
      <c r="P225" s="16" t="b">
        <v>0</v>
      </c>
    </row>
    <row r="226">
      <c r="A226" s="16" t="inlineStr">
        <is>
          <t>SIM-EST-0373799</t>
        </is>
      </c>
      <c r="B226" s="16" t="inlineStr">
        <is>
          <t>FAB-MAO</t>
        </is>
      </c>
      <c r="C226" s="16" t="inlineStr">
        <is>
          <t>FABRICA</t>
        </is>
      </c>
      <c r="D226" s="16" t="inlineStr">
        <is>
          <t>MATERIA_PRIMA</t>
        </is>
      </c>
      <c r="E226" s="16" t="inlineStr">
        <is>
          <t>OURO</t>
        </is>
      </c>
      <c r="F226" s="16" t="inlineStr">
        <is>
          <t>MP-OUR-00040</t>
        </is>
      </c>
      <c r="G226" s="16" t="n">
        <v>618.0700000000001</v>
      </c>
      <c r="H226" s="16" t="n">
        <v>339.69</v>
      </c>
      <c r="I226" s="16" t="n">
        <v>209952.2</v>
      </c>
      <c r="J226" s="16" t="n">
        <v>1072863597.85</v>
      </c>
      <c r="K226" s="16" t="n">
        <v>618.0700000000001</v>
      </c>
      <c r="L226" s="16" t="n">
        <v>339.69</v>
      </c>
      <c r="M226" s="16" t="n">
        <v>209952.2</v>
      </c>
      <c r="N226" s="16" t="n">
        <v>0</v>
      </c>
      <c r="O226" s="16" t="n">
        <v>0</v>
      </c>
      <c r="P226" s="16" t="b">
        <v>0</v>
      </c>
    </row>
    <row r="227">
      <c r="A227" s="16" t="inlineStr">
        <is>
          <t>SIM-EST-0375388</t>
        </is>
      </c>
      <c r="B227" s="16" t="inlineStr">
        <is>
          <t>LJV165</t>
        </is>
      </c>
      <c r="C227" s="16" t="inlineStr">
        <is>
          <t>LOJA_VIVARA</t>
        </is>
      </c>
      <c r="D227" s="16" t="inlineStr">
        <is>
          <t>PRODUTO_ACABADO</t>
        </is>
      </c>
      <c r="E227" s="16" t="inlineStr">
        <is>
          <t>JOIAS</t>
        </is>
      </c>
      <c r="F227" s="16" t="inlineStr">
        <is>
          <t>JOI-08505</t>
        </is>
      </c>
      <c r="G227" s="16" t="n">
        <v>5</v>
      </c>
      <c r="H227" s="16" t="n">
        <v>1406.09</v>
      </c>
      <c r="I227" s="16" t="n">
        <v>7030.45</v>
      </c>
      <c r="J227" s="16" t="n">
        <v>1077728587.2</v>
      </c>
      <c r="K227" s="16" t="n">
        <v>5</v>
      </c>
      <c r="L227" s="16" t="n">
        <v>1406.09</v>
      </c>
      <c r="M227" s="16" t="n">
        <v>7030.45</v>
      </c>
      <c r="N227" s="16" t="n">
        <v>0</v>
      </c>
      <c r="O227" s="16" t="n">
        <v>0</v>
      </c>
      <c r="P227" s="16" t="b">
        <v>0</v>
      </c>
    </row>
    <row r="228">
      <c r="A228" s="16" t="inlineStr">
        <is>
          <t>SIM-EST-0377144</t>
        </is>
      </c>
      <c r="B228" s="16" t="inlineStr">
        <is>
          <t>QSQ010</t>
        </is>
      </c>
      <c r="C228" s="16" t="inlineStr">
        <is>
          <t>QUIOSQUE</t>
        </is>
      </c>
      <c r="D228" s="16" t="inlineStr">
        <is>
          <t>PRODUTO_ACABADO</t>
        </is>
      </c>
      <c r="E228" s="16" t="inlineStr">
        <is>
          <t>JOIAS</t>
        </is>
      </c>
      <c r="F228" s="16" t="inlineStr">
        <is>
          <t>JOI-08326</t>
        </is>
      </c>
      <c r="G228" s="16" t="n">
        <v>2</v>
      </c>
      <c r="H228" s="16" t="n">
        <v>295.43</v>
      </c>
      <c r="I228" s="16" t="n">
        <v>590.86</v>
      </c>
      <c r="J228" s="16" t="n">
        <v>1082593576.54</v>
      </c>
      <c r="K228" s="16" t="n">
        <v>2</v>
      </c>
      <c r="L228" s="16" t="n">
        <v>295.43</v>
      </c>
      <c r="M228" s="16" t="n">
        <v>590.86</v>
      </c>
      <c r="N228" s="16" t="n">
        <v>0</v>
      </c>
      <c r="O228" s="16" t="n">
        <v>0</v>
      </c>
      <c r="P228" s="16" t="b">
        <v>0</v>
      </c>
    </row>
    <row r="229">
      <c r="A229" s="16" t="inlineStr">
        <is>
          <t>SIM-EST-0379207</t>
        </is>
      </c>
      <c r="B229" s="16" t="inlineStr">
        <is>
          <t>CD02</t>
        </is>
      </c>
      <c r="C229" s="16" t="inlineStr">
        <is>
          <t>CENTRO_DISTRIBUICAO</t>
        </is>
      </c>
      <c r="D229" s="16" t="inlineStr">
        <is>
          <t>PRODUTO_ACABADO</t>
        </is>
      </c>
      <c r="E229" s="16" t="inlineStr">
        <is>
          <t>JOIAS</t>
        </is>
      </c>
      <c r="F229" s="16" t="inlineStr">
        <is>
          <t>JOI-00892</t>
        </is>
      </c>
      <c r="G229" s="16" t="n">
        <v>90</v>
      </c>
      <c r="H229" s="16" t="n">
        <v>8307.15</v>
      </c>
      <c r="I229" s="16" t="n">
        <v>747643.5</v>
      </c>
      <c r="J229" s="16" t="n">
        <v>1087458565.89</v>
      </c>
      <c r="K229" s="16" t="n">
        <v>90</v>
      </c>
      <c r="L229" s="16" t="n">
        <v>8307.15</v>
      </c>
      <c r="M229" s="16" t="n">
        <v>747643.5</v>
      </c>
      <c r="N229" s="16" t="n">
        <v>0</v>
      </c>
      <c r="O229" s="16" t="n">
        <v>0</v>
      </c>
      <c r="P229" s="16" t="b">
        <v>0</v>
      </c>
    </row>
    <row r="230">
      <c r="A230" s="16" t="inlineStr">
        <is>
          <t>SIM-EST-0380953</t>
        </is>
      </c>
      <c r="B230" s="16" t="inlineStr">
        <is>
          <t>FAB-MAO</t>
        </is>
      </c>
      <c r="C230" s="16" t="inlineStr">
        <is>
          <t>FABRICA</t>
        </is>
      </c>
      <c r="D230" s="16" t="inlineStr">
        <is>
          <t>PRODUTO_ACABADO</t>
        </is>
      </c>
      <c r="E230" s="16" t="inlineStr">
        <is>
          <t>JOIAS</t>
        </is>
      </c>
      <c r="F230" s="16" t="inlineStr">
        <is>
          <t>JOI-09204</t>
        </is>
      </c>
      <c r="G230" s="16" t="n">
        <v>74</v>
      </c>
      <c r="H230" s="16" t="n">
        <v>1120.04</v>
      </c>
      <c r="I230" s="16" t="n">
        <v>82882.96000000001</v>
      </c>
      <c r="J230" s="16" t="n">
        <v>1092323555.23</v>
      </c>
      <c r="K230" s="16" t="n">
        <v>74</v>
      </c>
      <c r="L230" s="16" t="n">
        <v>1120.04</v>
      </c>
      <c r="M230" s="16" t="n">
        <v>82882.96000000001</v>
      </c>
      <c r="N230" s="16" t="n">
        <v>0</v>
      </c>
      <c r="O230" s="16" t="n">
        <v>0</v>
      </c>
      <c r="P230" s="16" t="b">
        <v>0</v>
      </c>
    </row>
    <row r="231">
      <c r="A231" s="16" t="inlineStr">
        <is>
          <t>SIM-EST-0382796</t>
        </is>
      </c>
      <c r="B231" s="16" t="inlineStr">
        <is>
          <t>LJV134</t>
        </is>
      </c>
      <c r="C231" s="16" t="inlineStr">
        <is>
          <t>LOJA_VIVARA</t>
        </is>
      </c>
      <c r="D231" s="16" t="inlineStr">
        <is>
          <t>PRODUTO_ACABADO</t>
        </is>
      </c>
      <c r="E231" s="16" t="inlineStr">
        <is>
          <t>RELOGIOS</t>
        </is>
      </c>
      <c r="F231" s="16" t="inlineStr">
        <is>
          <t>REL-00303</t>
        </is>
      </c>
      <c r="G231" s="16" t="n">
        <v>6</v>
      </c>
      <c r="H231" s="16" t="n">
        <v>375.4</v>
      </c>
      <c r="I231" s="16" t="n">
        <v>2252.4</v>
      </c>
      <c r="J231" s="16" t="n">
        <v>1097188544.58</v>
      </c>
      <c r="K231" s="16" t="n">
        <v>6</v>
      </c>
      <c r="L231" s="16" t="n">
        <v>375.4</v>
      </c>
      <c r="M231" s="16" t="n">
        <v>2252.4</v>
      </c>
      <c r="N231" s="16" t="n">
        <v>0</v>
      </c>
      <c r="O231" s="16" t="n">
        <v>0</v>
      </c>
      <c r="P231" s="16" t="b">
        <v>0</v>
      </c>
    </row>
    <row r="232">
      <c r="A232" s="16" t="inlineStr">
        <is>
          <t>SIM-EST-0384703</t>
        </is>
      </c>
      <c r="B232" s="16" t="inlineStr">
        <is>
          <t>CD03</t>
        </is>
      </c>
      <c r="C232" s="16" t="inlineStr">
        <is>
          <t>CENTRO_DISTRIBUICAO</t>
        </is>
      </c>
      <c r="D232" s="16" t="inlineStr">
        <is>
          <t>PRODUTO_ACABADO</t>
        </is>
      </c>
      <c r="E232" s="16" t="inlineStr">
        <is>
          <t>JOIAS</t>
        </is>
      </c>
      <c r="F232" s="16" t="inlineStr">
        <is>
          <t>JOI-05491</t>
        </is>
      </c>
      <c r="G232" s="16" t="n">
        <v>26</v>
      </c>
      <c r="H232" s="16" t="n">
        <v>2368.2</v>
      </c>
      <c r="I232" s="16" t="n">
        <v>61573.2</v>
      </c>
      <c r="J232" s="16" t="n">
        <v>1102053533.92</v>
      </c>
      <c r="K232" s="16" t="n">
        <v>26</v>
      </c>
      <c r="L232" s="16" t="n">
        <v>2368.2</v>
      </c>
      <c r="M232" s="16" t="n">
        <v>61573.2</v>
      </c>
      <c r="N232" s="16" t="n">
        <v>0</v>
      </c>
      <c r="O232" s="16" t="n">
        <v>0</v>
      </c>
      <c r="P232" s="16" t="b">
        <v>0</v>
      </c>
    </row>
    <row r="233">
      <c r="A233" s="16" t="inlineStr">
        <is>
          <t>SIM-EST-0386265</t>
        </is>
      </c>
      <c r="B233" s="16" t="inlineStr">
        <is>
          <t>CD01</t>
        </is>
      </c>
      <c r="C233" s="16" t="inlineStr">
        <is>
          <t>CENTRO_DISTRIBUICAO</t>
        </is>
      </c>
      <c r="D233" s="16" t="inlineStr">
        <is>
          <t>PRODUTO_ACABADO</t>
        </is>
      </c>
      <c r="E233" s="16" t="inlineStr">
        <is>
          <t>RELOGIOS</t>
        </is>
      </c>
      <c r="F233" s="16" t="inlineStr">
        <is>
          <t>REL-01454</t>
        </is>
      </c>
      <c r="G233" s="16" t="n">
        <v>40</v>
      </c>
      <c r="H233" s="16" t="n">
        <v>996.87</v>
      </c>
      <c r="I233" s="16" t="n">
        <v>39874.8</v>
      </c>
      <c r="J233" s="16" t="n">
        <v>1106918523.27</v>
      </c>
      <c r="K233" s="16" t="n">
        <v>40</v>
      </c>
      <c r="L233" s="16" t="n">
        <v>996.87</v>
      </c>
      <c r="M233" s="16" t="n">
        <v>39874.8</v>
      </c>
      <c r="N233" s="16" t="n">
        <v>0</v>
      </c>
      <c r="O233" s="16" t="n">
        <v>0</v>
      </c>
      <c r="P233" s="16" t="b">
        <v>0</v>
      </c>
    </row>
    <row r="234">
      <c r="A234" s="16" t="inlineStr">
        <is>
          <t>SIM-EST-0388038</t>
        </is>
      </c>
      <c r="B234" s="16" t="inlineStr">
        <is>
          <t>LJV023</t>
        </is>
      </c>
      <c r="C234" s="16" t="inlineStr">
        <is>
          <t>LOJA_VIVARA</t>
        </is>
      </c>
      <c r="D234" s="16" t="inlineStr">
        <is>
          <t>PRODUTO_ACABADO</t>
        </is>
      </c>
      <c r="E234" s="16" t="inlineStr">
        <is>
          <t>JOIAS</t>
        </is>
      </c>
      <c r="F234" s="16" t="inlineStr">
        <is>
          <t>JOI-08081</t>
        </is>
      </c>
      <c r="G234" s="16" t="n">
        <v>3</v>
      </c>
      <c r="H234" s="16" t="n">
        <v>918.84</v>
      </c>
      <c r="I234" s="16" t="n">
        <v>2756.52</v>
      </c>
      <c r="J234" s="16" t="n">
        <v>1111783512.61</v>
      </c>
      <c r="K234" s="16" t="n">
        <v>3</v>
      </c>
      <c r="L234" s="16" t="n">
        <v>918.84</v>
      </c>
      <c r="M234" s="16" t="n">
        <v>2756.52</v>
      </c>
      <c r="N234" s="16" t="n">
        <v>0</v>
      </c>
      <c r="O234" s="16" t="n">
        <v>0</v>
      </c>
      <c r="P234" s="16" t="b">
        <v>0</v>
      </c>
    </row>
    <row r="235">
      <c r="A235" s="16" t="inlineStr">
        <is>
          <t>SIM-EST-0389723</t>
        </is>
      </c>
      <c r="B235" s="16" t="inlineStr">
        <is>
          <t>LJV007</t>
        </is>
      </c>
      <c r="C235" s="16" t="inlineStr">
        <is>
          <t>LOJA_VIVARA</t>
        </is>
      </c>
      <c r="D235" s="16" t="inlineStr">
        <is>
          <t>PRODUTO_ACABADO</t>
        </is>
      </c>
      <c r="E235" s="16" t="inlineStr">
        <is>
          <t>JOIAS</t>
        </is>
      </c>
      <c r="F235" s="16" t="inlineStr">
        <is>
          <t>JOI-01866</t>
        </is>
      </c>
      <c r="G235" s="16" t="n">
        <v>2</v>
      </c>
      <c r="H235" s="16" t="n">
        <v>2100.03</v>
      </c>
      <c r="I235" s="16" t="n">
        <v>4200.06</v>
      </c>
      <c r="J235" s="16" t="n">
        <v>1116648501.96</v>
      </c>
      <c r="K235" s="16" t="n">
        <v>2</v>
      </c>
      <c r="L235" s="16" t="n">
        <v>2100.03</v>
      </c>
      <c r="M235" s="16" t="n">
        <v>4200.06</v>
      </c>
      <c r="N235" s="16" t="n">
        <v>0</v>
      </c>
      <c r="O235" s="16" t="n">
        <v>0</v>
      </c>
      <c r="P235" s="16" t="b">
        <v>0</v>
      </c>
    </row>
    <row r="236">
      <c r="A236" s="16" t="inlineStr">
        <is>
          <t>SIM-EST-0391347</t>
        </is>
      </c>
      <c r="B236" s="16" t="inlineStr">
        <is>
          <t>LJL167</t>
        </is>
      </c>
      <c r="C236" s="16" t="inlineStr">
        <is>
          <t>LOJA_LIFE</t>
        </is>
      </c>
      <c r="D236" s="16" t="inlineStr">
        <is>
          <t>MAT_CONSUMO_EMBALAGEM</t>
        </is>
      </c>
      <c r="E236" s="16" t="inlineStr">
        <is>
          <t>EMBALAGEM</t>
        </is>
      </c>
      <c r="F236" s="16" t="inlineStr">
        <is>
          <t>EMB-00509</t>
        </is>
      </c>
      <c r="G236" s="16" t="n">
        <v>429</v>
      </c>
      <c r="H236" s="16" t="n">
        <v>53.93</v>
      </c>
      <c r="I236" s="16" t="n">
        <v>23135.97</v>
      </c>
      <c r="J236" s="16" t="n">
        <v>1121513491.3</v>
      </c>
      <c r="K236" s="16" t="n">
        <v>429</v>
      </c>
      <c r="L236" s="16" t="n">
        <v>53.93</v>
      </c>
      <c r="M236" s="16" t="n">
        <v>23135.97</v>
      </c>
      <c r="N236" s="16" t="n">
        <v>0</v>
      </c>
      <c r="O236" s="16" t="n">
        <v>0</v>
      </c>
      <c r="P236" s="16" t="b">
        <v>0</v>
      </c>
    </row>
    <row r="237">
      <c r="A237" s="16" t="inlineStr">
        <is>
          <t>SIM-EST-0393234</t>
        </is>
      </c>
      <c r="B237" s="16" t="inlineStr">
        <is>
          <t>LJV215</t>
        </is>
      </c>
      <c r="C237" s="16" t="inlineStr">
        <is>
          <t>LOJA_VIVARA</t>
        </is>
      </c>
      <c r="D237" s="16" t="inlineStr">
        <is>
          <t>PRODUTO_ACABADO</t>
        </is>
      </c>
      <c r="E237" s="16" t="inlineStr">
        <is>
          <t>JOIAS</t>
        </is>
      </c>
      <c r="F237" s="16" t="inlineStr">
        <is>
          <t>JOI-09799</t>
        </is>
      </c>
      <c r="G237" s="16" t="n">
        <v>2</v>
      </c>
      <c r="H237" s="16" t="n">
        <v>1155.67</v>
      </c>
      <c r="I237" s="16" t="n">
        <v>2311.34</v>
      </c>
      <c r="J237" s="16" t="n">
        <v>1126378480.65</v>
      </c>
      <c r="K237" s="16" t="n">
        <v>2</v>
      </c>
      <c r="L237" s="16" t="n">
        <v>1155.67</v>
      </c>
      <c r="M237" s="16" t="n">
        <v>2311.34</v>
      </c>
      <c r="N237" s="16" t="n">
        <v>0</v>
      </c>
      <c r="O237" s="16" t="n">
        <v>0</v>
      </c>
      <c r="P237" s="16" t="b">
        <v>0</v>
      </c>
    </row>
    <row r="238">
      <c r="A238" s="16" t="inlineStr">
        <is>
          <t>SIM-EST-0394750</t>
        </is>
      </c>
      <c r="B238" s="16" t="inlineStr">
        <is>
          <t>LJV205</t>
        </is>
      </c>
      <c r="C238" s="16" t="inlineStr">
        <is>
          <t>LOJA_VIVARA</t>
        </is>
      </c>
      <c r="D238" s="16" t="inlineStr">
        <is>
          <t>PRODUTO_ACABADO</t>
        </is>
      </c>
      <c r="E238" s="16" t="inlineStr">
        <is>
          <t>RELOGIOS</t>
        </is>
      </c>
      <c r="F238" s="16" t="inlineStr">
        <is>
          <t>REL-01054</t>
        </is>
      </c>
      <c r="G238" s="16" t="n">
        <v>1</v>
      </c>
      <c r="H238" s="16" t="n">
        <v>2153.3</v>
      </c>
      <c r="I238" s="16" t="n">
        <v>2153.3</v>
      </c>
      <c r="J238" s="16" t="n">
        <v>1131243469.99</v>
      </c>
      <c r="K238" s="16" t="n">
        <v>1</v>
      </c>
      <c r="L238" s="16" t="n">
        <v>2153.3</v>
      </c>
      <c r="M238" s="16" t="n">
        <v>2153.3</v>
      </c>
      <c r="N238" s="16" t="n">
        <v>0</v>
      </c>
      <c r="O238" s="16" t="n">
        <v>0</v>
      </c>
      <c r="P238" s="16" t="b">
        <v>0</v>
      </c>
    </row>
    <row r="239">
      <c r="A239" s="16" t="inlineStr">
        <is>
          <t>SIM-EST-0396622</t>
        </is>
      </c>
      <c r="B239" s="16" t="inlineStr">
        <is>
          <t>CD01</t>
        </is>
      </c>
      <c r="C239" s="16" t="inlineStr">
        <is>
          <t>CENTRO_DISTRIBUICAO</t>
        </is>
      </c>
      <c r="D239" s="16" t="inlineStr">
        <is>
          <t>PRODUTO_ACABADO</t>
        </is>
      </c>
      <c r="E239" s="16" t="inlineStr">
        <is>
          <t>JOIAS</t>
        </is>
      </c>
      <c r="F239" s="16" t="inlineStr">
        <is>
          <t>JOI-05132</t>
        </is>
      </c>
      <c r="G239" s="16" t="n">
        <v>51</v>
      </c>
      <c r="H239" s="16" t="n">
        <v>2604.07</v>
      </c>
      <c r="I239" s="16" t="n">
        <v>132807.57</v>
      </c>
      <c r="J239" s="16" t="n">
        <v>1136108459.34</v>
      </c>
      <c r="K239" s="16" t="n">
        <v>51</v>
      </c>
      <c r="L239" s="16" t="n">
        <v>2604.07</v>
      </c>
      <c r="M239" s="16" t="n">
        <v>132807.57</v>
      </c>
      <c r="N239" s="16" t="n">
        <v>0</v>
      </c>
      <c r="O239" s="16" t="n">
        <v>0</v>
      </c>
      <c r="P239" s="16" t="b">
        <v>0</v>
      </c>
    </row>
    <row r="240">
      <c r="A240" s="16" t="inlineStr">
        <is>
          <t>SIM-EST-0398085</t>
        </is>
      </c>
      <c r="B240" s="16" t="inlineStr">
        <is>
          <t>FAB-MAO</t>
        </is>
      </c>
      <c r="C240" s="16" t="inlineStr">
        <is>
          <t>FABRICA</t>
        </is>
      </c>
      <c r="D240" s="16" t="inlineStr">
        <is>
          <t>MATERIA_PRIMA</t>
        </is>
      </c>
      <c r="E240" s="16" t="inlineStr">
        <is>
          <t>OURO</t>
        </is>
      </c>
      <c r="F240" s="16" t="inlineStr">
        <is>
          <t>MP-OUR-00235</t>
        </is>
      </c>
      <c r="G240" s="16" t="n">
        <v>1372.94</v>
      </c>
      <c r="H240" s="16" t="n">
        <v>356.76</v>
      </c>
      <c r="I240" s="16" t="n">
        <v>489810.07</v>
      </c>
      <c r="J240" s="16" t="n">
        <v>1140973448.68</v>
      </c>
      <c r="K240" s="16" t="n">
        <v>1372.94</v>
      </c>
      <c r="L240" s="16" t="n">
        <v>356.76</v>
      </c>
      <c r="M240" s="16" t="n">
        <v>489810.07</v>
      </c>
      <c r="N240" s="16" t="n">
        <v>0</v>
      </c>
      <c r="O240" s="16" t="n">
        <v>0</v>
      </c>
      <c r="P240" s="16" t="b">
        <v>0</v>
      </c>
    </row>
    <row r="241">
      <c r="A241" s="16" t="inlineStr">
        <is>
          <t>SIM-EST-0399598</t>
        </is>
      </c>
      <c r="B241" s="16" t="inlineStr">
        <is>
          <t>CD03</t>
        </is>
      </c>
      <c r="C241" s="16" t="inlineStr">
        <is>
          <t>CENTRO_DISTRIBUICAO</t>
        </is>
      </c>
      <c r="D241" s="16" t="inlineStr">
        <is>
          <t>PRODUTO_ACABADO</t>
        </is>
      </c>
      <c r="E241" s="16" t="inlineStr">
        <is>
          <t>JOIAS</t>
        </is>
      </c>
      <c r="F241" s="16" t="inlineStr">
        <is>
          <t>JOI-00646</t>
        </is>
      </c>
      <c r="G241" s="16" t="n">
        <v>23</v>
      </c>
      <c r="H241" s="16" t="n">
        <v>123.72</v>
      </c>
      <c r="I241" s="16" t="n">
        <v>2845.56</v>
      </c>
      <c r="J241" s="16" t="n">
        <v>1145838438.02</v>
      </c>
      <c r="K241" s="16" t="n">
        <v>23</v>
      </c>
      <c r="L241" s="16" t="n">
        <v>123.72</v>
      </c>
      <c r="M241" s="16" t="n">
        <v>2845.56</v>
      </c>
      <c r="N241" s="16" t="n">
        <v>0</v>
      </c>
      <c r="O241" s="16" t="n">
        <v>0</v>
      </c>
      <c r="P241" s="16" t="b">
        <v>0</v>
      </c>
    </row>
    <row r="242">
      <c r="A242" s="16" t="inlineStr">
        <is>
          <t>SIM-EST-0401169</t>
        </is>
      </c>
      <c r="B242" s="16" t="inlineStr">
        <is>
          <t>LJV135</t>
        </is>
      </c>
      <c r="C242" s="16" t="inlineStr">
        <is>
          <t>LOJA_VIVARA</t>
        </is>
      </c>
      <c r="D242" s="16" t="inlineStr">
        <is>
          <t>PRODUTO_ACABADO</t>
        </is>
      </c>
      <c r="E242" s="16" t="inlineStr">
        <is>
          <t>JOIAS</t>
        </is>
      </c>
      <c r="F242" s="16" t="inlineStr">
        <is>
          <t>JOI-02898</t>
        </is>
      </c>
      <c r="G242" s="16" t="n">
        <v>5</v>
      </c>
      <c r="H242" s="16" t="n">
        <v>585.38</v>
      </c>
      <c r="I242" s="16" t="n">
        <v>2926.9</v>
      </c>
      <c r="J242" s="16" t="n">
        <v>1150703427.37</v>
      </c>
      <c r="K242" s="16" t="n">
        <v>5</v>
      </c>
      <c r="L242" s="16" t="n">
        <v>585.38</v>
      </c>
      <c r="M242" s="16" t="n">
        <v>2926.9</v>
      </c>
      <c r="N242" s="16" t="n">
        <v>0</v>
      </c>
      <c r="O242" s="16" t="n">
        <v>0</v>
      </c>
      <c r="P242" s="16" t="b">
        <v>0</v>
      </c>
    </row>
    <row r="243">
      <c r="A243" s="16" t="inlineStr">
        <is>
          <t>SIM-EST-0403030</t>
        </is>
      </c>
      <c r="B243" s="16" t="inlineStr">
        <is>
          <t>FAB-MAO</t>
        </is>
      </c>
      <c r="C243" s="16" t="inlineStr">
        <is>
          <t>FABRICA</t>
        </is>
      </c>
      <c r="D243" s="16" t="inlineStr">
        <is>
          <t>MATERIA_PRIMA</t>
        </is>
      </c>
      <c r="E243" s="16" t="inlineStr">
        <is>
          <t>PEROLAS</t>
        </is>
      </c>
      <c r="F243" s="16" t="inlineStr">
        <is>
          <t>MP-PER-00187</t>
        </is>
      </c>
      <c r="G243" s="16" t="n">
        <v>340</v>
      </c>
      <c r="H243" s="16" t="n">
        <v>38.37</v>
      </c>
      <c r="I243" s="16" t="n">
        <v>13045.8</v>
      </c>
      <c r="J243" s="16" t="n">
        <v>1155568416.71</v>
      </c>
      <c r="K243" s="16" t="n">
        <v>340</v>
      </c>
      <c r="L243" s="16" t="n">
        <v>38.37</v>
      </c>
      <c r="M243" s="16" t="n">
        <v>13045.8</v>
      </c>
      <c r="N243" s="16" t="n">
        <v>0</v>
      </c>
      <c r="O243" s="16" t="n">
        <v>0</v>
      </c>
      <c r="P243" s="16" t="b">
        <v>0</v>
      </c>
    </row>
    <row r="244">
      <c r="A244" s="16" t="inlineStr">
        <is>
          <t>SIM-EST-0404396</t>
        </is>
      </c>
      <c r="B244" s="16" t="inlineStr">
        <is>
          <t>LJV113</t>
        </is>
      </c>
      <c r="C244" s="16" t="inlineStr">
        <is>
          <t>LOJA_VIVARA</t>
        </is>
      </c>
      <c r="D244" s="16" t="inlineStr">
        <is>
          <t>PRODUTO_ACABADO</t>
        </is>
      </c>
      <c r="E244" s="16" t="inlineStr">
        <is>
          <t>JOIAS</t>
        </is>
      </c>
      <c r="F244" s="16" t="inlineStr">
        <is>
          <t>JOI-06837</t>
        </is>
      </c>
      <c r="G244" s="16" t="n">
        <v>3</v>
      </c>
      <c r="H244" s="16" t="n">
        <v>439.71</v>
      </c>
      <c r="I244" s="16" t="n">
        <v>1319.13</v>
      </c>
      <c r="J244" s="16" t="n">
        <v>1160433406.06</v>
      </c>
      <c r="K244" s="16" t="n">
        <v>3</v>
      </c>
      <c r="L244" s="16" t="n">
        <v>439.71</v>
      </c>
      <c r="M244" s="16" t="n">
        <v>1319.13</v>
      </c>
      <c r="N244" s="16" t="n">
        <v>0</v>
      </c>
      <c r="O244" s="16" t="n">
        <v>0</v>
      </c>
      <c r="P244" s="16" t="b">
        <v>0</v>
      </c>
    </row>
    <row r="245">
      <c r="A245" s="16" t="inlineStr">
        <is>
          <t>SIM-EST-0406286</t>
        </is>
      </c>
      <c r="B245" s="16" t="inlineStr">
        <is>
          <t>FIL-SP</t>
        </is>
      </c>
      <c r="C245" s="16" t="inlineStr">
        <is>
          <t>FILIAL_COMPRAS</t>
        </is>
      </c>
      <c r="D245" s="16" t="inlineStr">
        <is>
          <t>MATERIA_PRIMA</t>
        </is>
      </c>
      <c r="E245" s="16" t="inlineStr">
        <is>
          <t>OURO</t>
        </is>
      </c>
      <c r="F245" s="16" t="inlineStr">
        <is>
          <t>MP-OUR-00288</t>
        </is>
      </c>
      <c r="G245" s="16" t="n">
        <v>620.6</v>
      </c>
      <c r="H245" s="16" t="n">
        <v>357.86</v>
      </c>
      <c r="I245" s="16" t="n">
        <v>222087.92</v>
      </c>
      <c r="J245" s="16" t="n">
        <v>1165298395.4</v>
      </c>
      <c r="K245" s="16" t="n">
        <v>620.6</v>
      </c>
      <c r="L245" s="16" t="n">
        <v>357.86</v>
      </c>
      <c r="M245" s="16" t="n">
        <v>222087.92</v>
      </c>
      <c r="N245" s="16" t="n">
        <v>0</v>
      </c>
      <c r="O245" s="16" t="n">
        <v>0</v>
      </c>
      <c r="P245" s="16" t="b">
        <v>0</v>
      </c>
    </row>
    <row r="246">
      <c r="A246" s="16" t="inlineStr">
        <is>
          <t>SIM-EST-0408200</t>
        </is>
      </c>
      <c r="B246" s="16" t="inlineStr">
        <is>
          <t>LJV056</t>
        </is>
      </c>
      <c r="C246" s="16" t="inlineStr">
        <is>
          <t>LOJA_VIVARA</t>
        </is>
      </c>
      <c r="D246" s="16" t="inlineStr">
        <is>
          <t>PRODUTO_ACABADO</t>
        </is>
      </c>
      <c r="E246" s="16" t="inlineStr">
        <is>
          <t>RELOGIOS</t>
        </is>
      </c>
      <c r="F246" s="16" t="inlineStr">
        <is>
          <t>REL-01201</t>
        </is>
      </c>
      <c r="G246" s="16" t="n">
        <v>5</v>
      </c>
      <c r="H246" s="16" t="n">
        <v>311.84</v>
      </c>
      <c r="I246" s="16" t="n">
        <v>1559.2</v>
      </c>
      <c r="J246" s="16" t="n">
        <v>1170163384.75</v>
      </c>
      <c r="K246" s="16" t="n">
        <v>5</v>
      </c>
      <c r="L246" s="16" t="n">
        <v>311.84</v>
      </c>
      <c r="M246" s="16" t="n">
        <v>1559.2</v>
      </c>
      <c r="N246" s="16" t="n">
        <v>0</v>
      </c>
      <c r="O246" s="16" t="n">
        <v>0</v>
      </c>
      <c r="P246" s="16" t="b">
        <v>0</v>
      </c>
    </row>
    <row r="247">
      <c r="A247" s="16" t="inlineStr">
        <is>
          <t>SIM-EST-0410292</t>
        </is>
      </c>
      <c r="B247" s="16" t="inlineStr">
        <is>
          <t>LJV009</t>
        </is>
      </c>
      <c r="C247" s="16" t="inlineStr">
        <is>
          <t>LOJA_VIVARA</t>
        </is>
      </c>
      <c r="D247" s="16" t="inlineStr">
        <is>
          <t>PRODUTO_ACABADO</t>
        </is>
      </c>
      <c r="E247" s="16" t="inlineStr">
        <is>
          <t>JOIAS</t>
        </is>
      </c>
      <c r="F247" s="16" t="inlineStr">
        <is>
          <t>JOI-06611</t>
        </is>
      </c>
      <c r="G247" s="16" t="n">
        <v>3</v>
      </c>
      <c r="H247" s="16" t="n">
        <v>1776.25</v>
      </c>
      <c r="I247" s="16" t="n">
        <v>5328.75</v>
      </c>
      <c r="J247" s="16" t="n">
        <v>1175028374.09</v>
      </c>
      <c r="K247" s="16" t="n">
        <v>3</v>
      </c>
      <c r="L247" s="16" t="n">
        <v>1776.25</v>
      </c>
      <c r="M247" s="16" t="n">
        <v>5328.75</v>
      </c>
      <c r="N247" s="16" t="n">
        <v>0</v>
      </c>
      <c r="O247" s="16" t="n">
        <v>0</v>
      </c>
      <c r="P247" s="16" t="b">
        <v>0</v>
      </c>
    </row>
    <row r="248">
      <c r="A248" s="16" t="inlineStr">
        <is>
          <t>SIM-EST-0412291</t>
        </is>
      </c>
      <c r="B248" s="16" t="inlineStr">
        <is>
          <t>CD01</t>
        </is>
      </c>
      <c r="C248" s="16" t="inlineStr">
        <is>
          <t>CENTRO_DISTRIBUICAO</t>
        </is>
      </c>
      <c r="D248" s="16" t="inlineStr">
        <is>
          <t>PRODUTO_ACABADO</t>
        </is>
      </c>
      <c r="E248" s="16" t="inlineStr">
        <is>
          <t>JOIAS</t>
        </is>
      </c>
      <c r="F248" s="16" t="inlineStr">
        <is>
          <t>JOI-08716</t>
        </is>
      </c>
      <c r="G248" s="16" t="n">
        <v>41</v>
      </c>
      <c r="H248" s="16" t="n">
        <v>4718.31</v>
      </c>
      <c r="I248" s="16" t="n">
        <v>193450.71</v>
      </c>
      <c r="J248" s="16" t="n">
        <v>1179893363.44</v>
      </c>
      <c r="K248" s="16" t="n">
        <v>41</v>
      </c>
      <c r="L248" s="16" t="n">
        <v>4718.31</v>
      </c>
      <c r="M248" s="16" t="n">
        <v>193450.71</v>
      </c>
      <c r="N248" s="16" t="n">
        <v>0</v>
      </c>
      <c r="O248" s="16" t="n">
        <v>0</v>
      </c>
      <c r="P248" s="16" t="b">
        <v>0</v>
      </c>
    </row>
    <row r="249">
      <c r="A249" s="16" t="inlineStr">
        <is>
          <t>SIM-EST-0414195</t>
        </is>
      </c>
      <c r="B249" s="16" t="inlineStr">
        <is>
          <t>CD02</t>
        </is>
      </c>
      <c r="C249" s="16" t="inlineStr">
        <is>
          <t>CENTRO_DISTRIBUICAO</t>
        </is>
      </c>
      <c r="D249" s="16" t="inlineStr">
        <is>
          <t>PRODUTO_ACABADO</t>
        </is>
      </c>
      <c r="E249" s="16" t="inlineStr">
        <is>
          <t>JOIAS</t>
        </is>
      </c>
      <c r="F249" s="16" t="inlineStr">
        <is>
          <t>JOI-00953</t>
        </is>
      </c>
      <c r="G249" s="16" t="n">
        <v>49</v>
      </c>
      <c r="H249" s="16" t="n">
        <v>2678.81</v>
      </c>
      <c r="I249" s="16" t="n">
        <v>131261.69</v>
      </c>
      <c r="J249" s="16" t="n">
        <v>1184758352.78</v>
      </c>
      <c r="K249" s="16" t="n">
        <v>49</v>
      </c>
      <c r="L249" s="16" t="n">
        <v>2678.81</v>
      </c>
      <c r="M249" s="16" t="n">
        <v>131261.69</v>
      </c>
      <c r="N249" s="16" t="n">
        <v>0</v>
      </c>
      <c r="O249" s="16" t="n">
        <v>0</v>
      </c>
      <c r="P249" s="16" t="b">
        <v>0</v>
      </c>
    </row>
    <row r="250">
      <c r="A250" s="16" t="inlineStr">
        <is>
          <t>SIM-EST-0415908</t>
        </is>
      </c>
      <c r="B250" s="16" t="inlineStr">
        <is>
          <t>CD03</t>
        </is>
      </c>
      <c r="C250" s="16" t="inlineStr">
        <is>
          <t>CENTRO_DISTRIBUICAO</t>
        </is>
      </c>
      <c r="D250" s="16" t="inlineStr">
        <is>
          <t>PRODUTO_ACABADO</t>
        </is>
      </c>
      <c r="E250" s="16" t="inlineStr">
        <is>
          <t>JOIAS</t>
        </is>
      </c>
      <c r="F250" s="16" t="inlineStr">
        <is>
          <t>JOI-08491</t>
        </is>
      </c>
      <c r="G250" s="16" t="n">
        <v>25</v>
      </c>
      <c r="H250" s="16" t="n">
        <v>2815.05</v>
      </c>
      <c r="I250" s="16" t="n">
        <v>70376.25</v>
      </c>
      <c r="J250" s="16" t="n">
        <v>1189623342.13</v>
      </c>
      <c r="K250" s="16" t="n">
        <v>25</v>
      </c>
      <c r="L250" s="16" t="n">
        <v>2815.05</v>
      </c>
      <c r="M250" s="16" t="n">
        <v>70376.25</v>
      </c>
      <c r="N250" s="16" t="n">
        <v>0</v>
      </c>
      <c r="O250" s="16" t="n">
        <v>0</v>
      </c>
      <c r="P250" s="16" t="b">
        <v>0</v>
      </c>
    </row>
    <row r="251">
      <c r="A251" s="16" t="inlineStr">
        <is>
          <t>SIM-EST-0417722</t>
        </is>
      </c>
      <c r="B251" s="16" t="inlineStr">
        <is>
          <t>CD02</t>
        </is>
      </c>
      <c r="C251" s="16" t="inlineStr">
        <is>
          <t>CENTRO_DISTRIBUICAO</t>
        </is>
      </c>
      <c r="D251" s="16" t="inlineStr">
        <is>
          <t>PRODUTO_ACABADO</t>
        </is>
      </c>
      <c r="E251" s="16" t="inlineStr">
        <is>
          <t>JOIAS</t>
        </is>
      </c>
      <c r="F251" s="16" t="inlineStr">
        <is>
          <t>JOI-05438</t>
        </is>
      </c>
      <c r="G251" s="16" t="n">
        <v>52</v>
      </c>
      <c r="H251" s="16" t="n">
        <v>684.89</v>
      </c>
      <c r="I251" s="16" t="n">
        <v>35614.28</v>
      </c>
      <c r="J251" s="16" t="n">
        <v>1194488331.47</v>
      </c>
      <c r="K251" s="16" t="n">
        <v>52</v>
      </c>
      <c r="L251" s="16" t="n">
        <v>684.89</v>
      </c>
      <c r="M251" s="16" t="n">
        <v>35614.28</v>
      </c>
      <c r="N251" s="16" t="n">
        <v>0</v>
      </c>
      <c r="O251" s="16" t="n">
        <v>0</v>
      </c>
      <c r="P251" s="16" t="b">
        <v>0</v>
      </c>
    </row>
    <row r="252">
      <c r="A252" s="16" t="inlineStr">
        <is>
          <t>SIM-EST-0419187</t>
        </is>
      </c>
      <c r="B252" s="16" t="inlineStr">
        <is>
          <t>FAB-MAO</t>
        </is>
      </c>
      <c r="C252" s="16" t="inlineStr">
        <is>
          <t>FABRICA</t>
        </is>
      </c>
      <c r="D252" s="16" t="inlineStr">
        <is>
          <t>MATERIA_PRIMA</t>
        </is>
      </c>
      <c r="E252" s="16" t="inlineStr">
        <is>
          <t>OURO</t>
        </is>
      </c>
      <c r="F252" s="16" t="inlineStr">
        <is>
          <t>MP-OUR-00462</t>
        </is>
      </c>
      <c r="G252" s="16" t="n">
        <v>928.65</v>
      </c>
      <c r="H252" s="16" t="n">
        <v>346.41</v>
      </c>
      <c r="I252" s="16" t="n">
        <v>321693.65</v>
      </c>
      <c r="J252" s="16" t="n">
        <v>1199353320.82</v>
      </c>
      <c r="K252" s="16" t="n">
        <v>928.65</v>
      </c>
      <c r="L252" s="16" t="n">
        <v>346.41</v>
      </c>
      <c r="M252" s="16" t="n">
        <v>321693.65</v>
      </c>
      <c r="N252" s="16" t="n">
        <v>0</v>
      </c>
      <c r="O252" s="16" t="n">
        <v>0</v>
      </c>
      <c r="P252" s="16" t="b">
        <v>0</v>
      </c>
    </row>
    <row r="253">
      <c r="A253" s="16" t="inlineStr">
        <is>
          <t>SIM-EST-0420950</t>
        </is>
      </c>
      <c r="B253" s="16" t="inlineStr">
        <is>
          <t>CD02</t>
        </is>
      </c>
      <c r="C253" s="16" t="inlineStr">
        <is>
          <t>CENTRO_DISTRIBUICAO</t>
        </is>
      </c>
      <c r="D253" s="16" t="inlineStr">
        <is>
          <t>PRODUTO_ACABADO</t>
        </is>
      </c>
      <c r="E253" s="16" t="inlineStr">
        <is>
          <t>JOIAS</t>
        </is>
      </c>
      <c r="F253" s="16" t="inlineStr">
        <is>
          <t>JOI-05262</t>
        </is>
      </c>
      <c r="G253" s="16" t="n">
        <v>36</v>
      </c>
      <c r="H253" s="16" t="n">
        <v>1062.24</v>
      </c>
      <c r="I253" s="16" t="n">
        <v>38240.64</v>
      </c>
      <c r="J253" s="16" t="n">
        <v>1204218310.16</v>
      </c>
      <c r="K253" s="16" t="n">
        <v>36</v>
      </c>
      <c r="L253" s="16" t="n">
        <v>1062.24</v>
      </c>
      <c r="M253" s="16" t="n">
        <v>38240.64</v>
      </c>
      <c r="N253" s="16" t="n">
        <v>0</v>
      </c>
      <c r="O253" s="16" t="n">
        <v>0</v>
      </c>
      <c r="P253" s="16" t="b">
        <v>0</v>
      </c>
    </row>
    <row r="254">
      <c r="A254" s="16" t="inlineStr">
        <is>
          <t>SIM-EST-0422312</t>
        </is>
      </c>
      <c r="B254" s="16" t="inlineStr">
        <is>
          <t>CD02</t>
        </is>
      </c>
      <c r="C254" s="16" t="inlineStr">
        <is>
          <t>CENTRO_DISTRIBUICAO</t>
        </is>
      </c>
      <c r="D254" s="16" t="inlineStr">
        <is>
          <t>PRODUTO_ACABADO</t>
        </is>
      </c>
      <c r="E254" s="16" t="inlineStr">
        <is>
          <t>LIFE</t>
        </is>
      </c>
      <c r="F254" s="16" t="inlineStr">
        <is>
          <t>LIF-00498</t>
        </is>
      </c>
      <c r="G254" s="16" t="n">
        <v>71</v>
      </c>
      <c r="H254" s="16" t="n">
        <v>15.28</v>
      </c>
      <c r="I254" s="16" t="n">
        <v>1084.88</v>
      </c>
      <c r="J254" s="16" t="n">
        <v>1209083299.51</v>
      </c>
      <c r="K254" s="16" t="n">
        <v>71</v>
      </c>
      <c r="L254" s="16" t="n">
        <v>15.28</v>
      </c>
      <c r="M254" s="16" t="n">
        <v>1084.88</v>
      </c>
      <c r="N254" s="16" t="n">
        <v>0</v>
      </c>
      <c r="O254" s="16" t="n">
        <v>0</v>
      </c>
      <c r="P254" s="16" t="b">
        <v>0</v>
      </c>
    </row>
    <row r="255">
      <c r="A255" s="16" t="inlineStr">
        <is>
          <t>SIM-EST-0423618</t>
        </is>
      </c>
      <c r="B255" s="16" t="inlineStr">
        <is>
          <t>CD01</t>
        </is>
      </c>
      <c r="C255" s="16" t="inlineStr">
        <is>
          <t>CENTRO_DISTRIBUICAO</t>
        </is>
      </c>
      <c r="D255" s="16" t="inlineStr">
        <is>
          <t>PRODUTO_ACABADO</t>
        </is>
      </c>
      <c r="E255" s="16" t="inlineStr">
        <is>
          <t>LIFE</t>
        </is>
      </c>
      <c r="F255" s="16" t="inlineStr">
        <is>
          <t>LIF-06933</t>
        </is>
      </c>
      <c r="G255" s="16" t="n">
        <v>14</v>
      </c>
      <c r="H255" s="16" t="n">
        <v>55.12</v>
      </c>
      <c r="I255" s="16" t="n">
        <v>771.6799999999999</v>
      </c>
      <c r="J255" s="16" t="n">
        <v>1213948288.85</v>
      </c>
      <c r="K255" s="16" t="n">
        <v>14</v>
      </c>
      <c r="L255" s="16" t="n">
        <v>55.12</v>
      </c>
      <c r="M255" s="16" t="n">
        <v>771.6799999999999</v>
      </c>
      <c r="N255" s="16" t="n">
        <v>0</v>
      </c>
      <c r="O255" s="16" t="n">
        <v>0</v>
      </c>
      <c r="P255" s="16" t="b">
        <v>0</v>
      </c>
    </row>
    <row r="256">
      <c r="A256" s="16" t="inlineStr">
        <is>
          <t>SIM-EST-0425693</t>
        </is>
      </c>
      <c r="B256" s="16" t="inlineStr">
        <is>
          <t>CD01</t>
        </is>
      </c>
      <c r="C256" s="16" t="inlineStr">
        <is>
          <t>CENTRO_DISTRIBUICAO</t>
        </is>
      </c>
      <c r="D256" s="16" t="inlineStr">
        <is>
          <t>PRODUTO_ACABADO</t>
        </is>
      </c>
      <c r="E256" s="16" t="inlineStr">
        <is>
          <t>LIFE</t>
        </is>
      </c>
      <c r="F256" s="16" t="inlineStr">
        <is>
          <t>LIF-04860</t>
        </is>
      </c>
      <c r="G256" s="16" t="n">
        <v>61</v>
      </c>
      <c r="H256" s="16" t="n">
        <v>124.09</v>
      </c>
      <c r="I256" s="16" t="n">
        <v>7569.49</v>
      </c>
      <c r="J256" s="16" t="n">
        <v>1218813278.2</v>
      </c>
      <c r="K256" s="16" t="n">
        <v>61</v>
      </c>
      <c r="L256" s="16" t="n">
        <v>124.09</v>
      </c>
      <c r="M256" s="16" t="n">
        <v>7569.49</v>
      </c>
      <c r="N256" s="16" t="n">
        <v>0</v>
      </c>
      <c r="O256" s="16" t="n">
        <v>0</v>
      </c>
      <c r="P256" s="16" t="b">
        <v>0</v>
      </c>
    </row>
    <row r="257">
      <c r="A257" s="16" t="inlineStr">
        <is>
          <t>SIM-EST-0427590</t>
        </is>
      </c>
      <c r="B257" s="16" t="inlineStr">
        <is>
          <t>LJV117</t>
        </is>
      </c>
      <c r="C257" s="16" t="inlineStr">
        <is>
          <t>LOJA_VIVARA</t>
        </is>
      </c>
      <c r="D257" s="16" t="inlineStr">
        <is>
          <t>PRODUTO_ACABADO</t>
        </is>
      </c>
      <c r="E257" s="16" t="inlineStr">
        <is>
          <t>JOIAS</t>
        </is>
      </c>
      <c r="F257" s="16" t="inlineStr">
        <is>
          <t>JOI-10644</t>
        </is>
      </c>
      <c r="G257" s="16" t="n">
        <v>2</v>
      </c>
      <c r="H257" s="16" t="n">
        <v>1286.58</v>
      </c>
      <c r="I257" s="16" t="n">
        <v>2573.16</v>
      </c>
      <c r="J257" s="16" t="n">
        <v>1223678267.54</v>
      </c>
      <c r="K257" s="16" t="n">
        <v>2</v>
      </c>
      <c r="L257" s="16" t="n">
        <v>1286.58</v>
      </c>
      <c r="M257" s="16" t="n">
        <v>2573.16</v>
      </c>
      <c r="N257" s="16" t="n">
        <v>0</v>
      </c>
      <c r="O257" s="16" t="n">
        <v>0</v>
      </c>
      <c r="P257" s="16" t="b">
        <v>0</v>
      </c>
    </row>
    <row r="258">
      <c r="A258" s="16" t="inlineStr">
        <is>
          <t>SIM-EST-0428854</t>
        </is>
      </c>
      <c r="B258" s="16" t="inlineStr">
        <is>
          <t>FAB-MAO</t>
        </is>
      </c>
      <c r="C258" s="16" t="inlineStr">
        <is>
          <t>FABRICA</t>
        </is>
      </c>
      <c r="D258" s="16" t="inlineStr">
        <is>
          <t>MATERIA_PRIMA</t>
        </is>
      </c>
      <c r="E258" s="16" t="inlineStr">
        <is>
          <t>DIAMANTES</t>
        </is>
      </c>
      <c r="F258" s="16" t="inlineStr">
        <is>
          <t>MP-DIA-00764</t>
        </is>
      </c>
      <c r="G258" s="16" t="n">
        <v>24.92</v>
      </c>
      <c r="H258" s="16" t="n">
        <v>1888.16</v>
      </c>
      <c r="I258" s="16" t="n">
        <v>47052.95</v>
      </c>
      <c r="J258" s="16" t="n">
        <v>1228543256.88</v>
      </c>
      <c r="K258" s="16" t="n">
        <v>24.92</v>
      </c>
      <c r="L258" s="16" t="n">
        <v>1888.16</v>
      </c>
      <c r="M258" s="16" t="n">
        <v>47052.95</v>
      </c>
      <c r="N258" s="16" t="n">
        <v>0</v>
      </c>
      <c r="O258" s="16" t="n">
        <v>0</v>
      </c>
      <c r="P258" s="16" t="b">
        <v>0</v>
      </c>
    </row>
    <row r="259">
      <c r="A259" s="16" t="inlineStr">
        <is>
          <t>SIM-EST-0430663</t>
        </is>
      </c>
      <c r="B259" s="16" t="inlineStr">
        <is>
          <t>CD03</t>
        </is>
      </c>
      <c r="C259" s="16" t="inlineStr">
        <is>
          <t>CENTRO_DISTRIBUICAO</t>
        </is>
      </c>
      <c r="D259" s="16" t="inlineStr">
        <is>
          <t>PRODUTO_ACABADO</t>
        </is>
      </c>
      <c r="E259" s="16" t="inlineStr">
        <is>
          <t>JOIAS</t>
        </is>
      </c>
      <c r="F259" s="16" t="inlineStr">
        <is>
          <t>JOI-10001</t>
        </is>
      </c>
      <c r="G259" s="16" t="n">
        <v>49</v>
      </c>
      <c r="H259" s="16" t="n">
        <v>774.75</v>
      </c>
      <c r="I259" s="16" t="n">
        <v>37962.75</v>
      </c>
      <c r="J259" s="16" t="n">
        <v>1233408246.23</v>
      </c>
      <c r="K259" s="16" t="n">
        <v>49</v>
      </c>
      <c r="L259" s="16" t="n">
        <v>774.75</v>
      </c>
      <c r="M259" s="16" t="n">
        <v>37962.75</v>
      </c>
      <c r="N259" s="16" t="n">
        <v>0</v>
      </c>
      <c r="O259" s="16" t="n">
        <v>0</v>
      </c>
      <c r="P259" s="16" t="b">
        <v>0</v>
      </c>
    </row>
    <row r="260">
      <c r="A260" s="16" t="inlineStr">
        <is>
          <t>SIM-EST-0432415</t>
        </is>
      </c>
      <c r="B260" s="16" t="inlineStr">
        <is>
          <t>LJV033</t>
        </is>
      </c>
      <c r="C260" s="16" t="inlineStr">
        <is>
          <t>LOJA_VIVARA</t>
        </is>
      </c>
      <c r="D260" s="16" t="inlineStr">
        <is>
          <t>PRODUTO_ACABADO</t>
        </is>
      </c>
      <c r="E260" s="16" t="inlineStr">
        <is>
          <t>JOIAS</t>
        </is>
      </c>
      <c r="F260" s="16" t="inlineStr">
        <is>
          <t>JOI-11746</t>
        </is>
      </c>
      <c r="G260" s="16" t="n">
        <v>1</v>
      </c>
      <c r="H260" s="16" t="n">
        <v>1474.96</v>
      </c>
      <c r="I260" s="16" t="n">
        <v>1474.96</v>
      </c>
      <c r="J260" s="16" t="n">
        <v>1238273235.57</v>
      </c>
      <c r="K260" s="16" t="n">
        <v>1</v>
      </c>
      <c r="L260" s="16" t="n">
        <v>1474.96</v>
      </c>
      <c r="M260" s="16" t="n">
        <v>1474.96</v>
      </c>
      <c r="N260" s="16" t="n">
        <v>0</v>
      </c>
      <c r="O260" s="16" t="n">
        <v>0</v>
      </c>
      <c r="P260" s="16" t="b">
        <v>0</v>
      </c>
    </row>
    <row r="261">
      <c r="A261" s="16" t="inlineStr">
        <is>
          <t>SIM-EST-0434072</t>
        </is>
      </c>
      <c r="B261" s="16" t="inlineStr">
        <is>
          <t>LJV158</t>
        </is>
      </c>
      <c r="C261" s="16" t="inlineStr">
        <is>
          <t>LOJA_VIVARA</t>
        </is>
      </c>
      <c r="D261" s="16" t="inlineStr">
        <is>
          <t>PRODUTO_ACABADO</t>
        </is>
      </c>
      <c r="E261" s="16" t="inlineStr">
        <is>
          <t>JOIAS</t>
        </is>
      </c>
      <c r="F261" s="16" t="inlineStr">
        <is>
          <t>JOI-09569</t>
        </is>
      </c>
      <c r="G261" s="16" t="n">
        <v>2</v>
      </c>
      <c r="H261" s="16" t="n">
        <v>2266.91</v>
      </c>
      <c r="I261" s="16" t="n">
        <v>4533.82</v>
      </c>
      <c r="J261" s="16" t="n">
        <v>1243138224.92</v>
      </c>
      <c r="K261" s="16" t="n">
        <v>2</v>
      </c>
      <c r="L261" s="16" t="n">
        <v>2266.91</v>
      </c>
      <c r="M261" s="16" t="n">
        <v>4533.82</v>
      </c>
      <c r="N261" s="16" t="n">
        <v>0</v>
      </c>
      <c r="O261" s="16" t="n">
        <v>0</v>
      </c>
      <c r="P261" s="16" t="b">
        <v>0</v>
      </c>
    </row>
    <row r="262">
      <c r="A262" s="16" t="inlineStr">
        <is>
          <t>SIM-EST-0435786</t>
        </is>
      </c>
      <c r="B262" s="16" t="inlineStr">
        <is>
          <t>LJV069</t>
        </is>
      </c>
      <c r="C262" s="16" t="inlineStr">
        <is>
          <t>LOJA_VIVARA</t>
        </is>
      </c>
      <c r="D262" s="16" t="inlineStr">
        <is>
          <t>PRODUTO_ACABADO</t>
        </is>
      </c>
      <c r="E262" s="16" t="inlineStr">
        <is>
          <t>JOIAS</t>
        </is>
      </c>
      <c r="F262" s="16" t="inlineStr">
        <is>
          <t>JOI-01181</t>
        </is>
      </c>
      <c r="G262" s="16" t="n">
        <v>1</v>
      </c>
      <c r="H262" s="16" t="n">
        <v>1931.93</v>
      </c>
      <c r="I262" s="16" t="n">
        <v>1931.93</v>
      </c>
      <c r="J262" s="16" t="n">
        <v>1248003214.26</v>
      </c>
      <c r="K262" s="16" t="n">
        <v>1</v>
      </c>
      <c r="L262" s="16" t="n">
        <v>1931.93</v>
      </c>
      <c r="M262" s="16" t="n">
        <v>1931.93</v>
      </c>
      <c r="N262" s="16" t="n">
        <v>0</v>
      </c>
      <c r="O262" s="16" t="n">
        <v>0</v>
      </c>
      <c r="P262" s="16" t="b">
        <v>0</v>
      </c>
    </row>
    <row r="263">
      <c r="A263" s="16" t="inlineStr">
        <is>
          <t>SIM-EST-0437625</t>
        </is>
      </c>
      <c r="B263" s="16" t="inlineStr">
        <is>
          <t>LJV201</t>
        </is>
      </c>
      <c r="C263" s="16" t="inlineStr">
        <is>
          <t>LOJA_VIVARA</t>
        </is>
      </c>
      <c r="D263" s="16" t="inlineStr">
        <is>
          <t>PRODUTO_ACABADO</t>
        </is>
      </c>
      <c r="E263" s="16" t="inlineStr">
        <is>
          <t>JOIAS</t>
        </is>
      </c>
      <c r="F263" s="16" t="inlineStr">
        <is>
          <t>JOI-01873</t>
        </is>
      </c>
      <c r="G263" s="16" t="n">
        <v>3</v>
      </c>
      <c r="H263" s="16" t="n">
        <v>19184.24</v>
      </c>
      <c r="I263" s="16" t="n">
        <v>57552.72</v>
      </c>
      <c r="J263" s="16" t="n">
        <v>1252868203.61</v>
      </c>
      <c r="K263" s="16" t="n">
        <v>3</v>
      </c>
      <c r="L263" s="16" t="n">
        <v>19184.24</v>
      </c>
      <c r="M263" s="16" t="n">
        <v>57552.72</v>
      </c>
      <c r="N263" s="16" t="n">
        <v>0</v>
      </c>
      <c r="O263" s="16" t="n">
        <v>0</v>
      </c>
      <c r="P263" s="16" t="b">
        <v>0</v>
      </c>
    </row>
    <row r="264">
      <c r="A264" s="16" t="inlineStr">
        <is>
          <t>SIM-EST-0439180</t>
        </is>
      </c>
      <c r="B264" s="16" t="inlineStr">
        <is>
          <t>FAB-MAO</t>
        </is>
      </c>
      <c r="C264" s="16" t="inlineStr">
        <is>
          <t>FABRICA</t>
        </is>
      </c>
      <c r="D264" s="16" t="inlineStr">
        <is>
          <t>MATERIA_PRIMA</t>
        </is>
      </c>
      <c r="E264" s="16" t="inlineStr">
        <is>
          <t>DIAMANTES</t>
        </is>
      </c>
      <c r="F264" s="16" t="inlineStr">
        <is>
          <t>MP-DIA-01902</t>
        </is>
      </c>
      <c r="G264" s="16" t="n">
        <v>38.89</v>
      </c>
      <c r="H264" s="16" t="n">
        <v>1961.85</v>
      </c>
      <c r="I264" s="16" t="n">
        <v>76296.35000000001</v>
      </c>
      <c r="J264" s="16" t="n">
        <v>1257733192.95</v>
      </c>
      <c r="K264" s="16" t="n">
        <v>38.89</v>
      </c>
      <c r="L264" s="16" t="n">
        <v>1961.85</v>
      </c>
      <c r="M264" s="16" t="n">
        <v>76296.35000000001</v>
      </c>
      <c r="N264" s="16" t="n">
        <v>0</v>
      </c>
      <c r="O264" s="16" t="n">
        <v>0</v>
      </c>
      <c r="P264" s="16" t="b">
        <v>0</v>
      </c>
    </row>
    <row r="265">
      <c r="A265" s="16" t="inlineStr">
        <is>
          <t>SIM-EST-0440543</t>
        </is>
      </c>
      <c r="B265" s="16" t="inlineStr">
        <is>
          <t>LJV129</t>
        </is>
      </c>
      <c r="C265" s="16" t="inlineStr">
        <is>
          <t>LOJA_VIVARA</t>
        </is>
      </c>
      <c r="D265" s="16" t="inlineStr">
        <is>
          <t>PRODUTO_ACABADO</t>
        </is>
      </c>
      <c r="E265" s="16" t="inlineStr">
        <is>
          <t>JOIAS</t>
        </is>
      </c>
      <c r="F265" s="16" t="inlineStr">
        <is>
          <t>JOI-09377</t>
        </is>
      </c>
      <c r="G265" s="16" t="n">
        <v>2</v>
      </c>
      <c r="H265" s="16" t="n">
        <v>1452.59</v>
      </c>
      <c r="I265" s="16" t="n">
        <v>2905.18</v>
      </c>
      <c r="J265" s="16" t="n">
        <v>1262598182.3</v>
      </c>
      <c r="K265" s="16" t="n">
        <v>2</v>
      </c>
      <c r="L265" s="16" t="n">
        <v>1452.59</v>
      </c>
      <c r="M265" s="16" t="n">
        <v>2905.18</v>
      </c>
      <c r="N265" s="16" t="n">
        <v>0</v>
      </c>
      <c r="O265" s="16" t="n">
        <v>0</v>
      </c>
      <c r="P265" s="16" t="b">
        <v>0</v>
      </c>
    </row>
    <row r="266">
      <c r="A266" s="16" t="inlineStr">
        <is>
          <t>SIM-EST-0442340</t>
        </is>
      </c>
      <c r="B266" s="16" t="inlineStr">
        <is>
          <t>LJV005</t>
        </is>
      </c>
      <c r="C266" s="16" t="inlineStr">
        <is>
          <t>LOJA_VIVARA</t>
        </is>
      </c>
      <c r="D266" s="16" t="inlineStr">
        <is>
          <t>PRODUTO_ACABADO</t>
        </is>
      </c>
      <c r="E266" s="16" t="inlineStr">
        <is>
          <t>RELOGIOS</t>
        </is>
      </c>
      <c r="F266" s="16" t="inlineStr">
        <is>
          <t>REL-01052</t>
        </is>
      </c>
      <c r="G266" s="16" t="n">
        <v>2</v>
      </c>
      <c r="H266" s="16" t="n">
        <v>810.23</v>
      </c>
      <c r="I266" s="16" t="n">
        <v>1620.46</v>
      </c>
      <c r="J266" s="16" t="n">
        <v>1267463171.64</v>
      </c>
      <c r="K266" s="16" t="n">
        <v>2</v>
      </c>
      <c r="L266" s="16" t="n">
        <v>810.23</v>
      </c>
      <c r="M266" s="16" t="n">
        <v>1620.46</v>
      </c>
      <c r="N266" s="16" t="n">
        <v>0</v>
      </c>
      <c r="O266" s="16" t="n">
        <v>0</v>
      </c>
      <c r="P266" s="16" t="b">
        <v>0</v>
      </c>
    </row>
    <row r="267">
      <c r="A267" s="16" t="inlineStr">
        <is>
          <t>SIM-EST-0444317</t>
        </is>
      </c>
      <c r="B267" s="16" t="inlineStr">
        <is>
          <t>LJL086</t>
        </is>
      </c>
      <c r="C267" s="16" t="inlineStr">
        <is>
          <t>LOJA_LIFE</t>
        </is>
      </c>
      <c r="D267" s="16" t="inlineStr">
        <is>
          <t>PRODUTO_ACABADO</t>
        </is>
      </c>
      <c r="E267" s="16" t="inlineStr">
        <is>
          <t>LIFE</t>
        </is>
      </c>
      <c r="F267" s="16" t="inlineStr">
        <is>
          <t>LIF-04854</t>
        </is>
      </c>
      <c r="G267" s="16" t="n">
        <v>2</v>
      </c>
      <c r="H267" s="16" t="n">
        <v>68.47</v>
      </c>
      <c r="I267" s="16" t="n">
        <v>136.94</v>
      </c>
      <c r="J267" s="16" t="n">
        <v>1272328160.99</v>
      </c>
      <c r="K267" s="16" t="n">
        <v>2</v>
      </c>
      <c r="L267" s="16" t="n">
        <v>68.47</v>
      </c>
      <c r="M267" s="16" t="n">
        <v>136.94</v>
      </c>
      <c r="N267" s="16" t="n">
        <v>0</v>
      </c>
      <c r="O267" s="16" t="n">
        <v>0</v>
      </c>
      <c r="P267" s="16" t="b">
        <v>0</v>
      </c>
    </row>
    <row r="268">
      <c r="A268" s="16" t="inlineStr">
        <is>
          <t>SIM-EST-0445861</t>
        </is>
      </c>
      <c r="B268" s="16" t="inlineStr">
        <is>
          <t>LJV160</t>
        </is>
      </c>
      <c r="C268" s="16" t="inlineStr">
        <is>
          <t>LOJA_VIVARA</t>
        </is>
      </c>
      <c r="D268" s="16" t="inlineStr">
        <is>
          <t>PRODUTO_ACABADO</t>
        </is>
      </c>
      <c r="E268" s="16" t="inlineStr">
        <is>
          <t>JOIAS</t>
        </is>
      </c>
      <c r="F268" s="16" t="inlineStr">
        <is>
          <t>JOI-10826</t>
        </is>
      </c>
      <c r="G268" s="16" t="n">
        <v>2</v>
      </c>
      <c r="H268" s="16" t="n">
        <v>1073.53</v>
      </c>
      <c r="I268" s="16" t="n">
        <v>2147.06</v>
      </c>
      <c r="J268" s="16" t="n">
        <v>1277193150.33</v>
      </c>
      <c r="K268" s="16" t="n">
        <v>2</v>
      </c>
      <c r="L268" s="16" t="n">
        <v>1073.53</v>
      </c>
      <c r="M268" s="16" t="n">
        <v>2147.06</v>
      </c>
      <c r="N268" s="16" t="n">
        <v>0</v>
      </c>
      <c r="O268" s="16" t="n">
        <v>0</v>
      </c>
      <c r="P268" s="16" t="b">
        <v>0</v>
      </c>
    </row>
    <row r="269">
      <c r="A269" s="16" t="inlineStr">
        <is>
          <t>SIM-EST-0447266</t>
        </is>
      </c>
      <c r="B269" s="16" t="inlineStr">
        <is>
          <t>CD01</t>
        </is>
      </c>
      <c r="C269" s="16" t="inlineStr">
        <is>
          <t>CENTRO_DISTRIBUICAO</t>
        </is>
      </c>
      <c r="D269" s="16" t="inlineStr">
        <is>
          <t>PRODUTO_ACABADO</t>
        </is>
      </c>
      <c r="E269" s="16" t="inlineStr">
        <is>
          <t>JOIAS</t>
        </is>
      </c>
      <c r="F269" s="16" t="inlineStr">
        <is>
          <t>JOI-11017</t>
        </is>
      </c>
      <c r="G269" s="16" t="n">
        <v>83</v>
      </c>
      <c r="H269" s="16" t="n">
        <v>2130.69</v>
      </c>
      <c r="I269" s="16" t="n">
        <v>176847.27</v>
      </c>
      <c r="J269" s="16" t="n">
        <v>1282058139.68</v>
      </c>
      <c r="K269" s="16" t="n">
        <v>83</v>
      </c>
      <c r="L269" s="16" t="n">
        <v>2130.69</v>
      </c>
      <c r="M269" s="16" t="n">
        <v>176847.27</v>
      </c>
      <c r="N269" s="16" t="n">
        <v>0</v>
      </c>
      <c r="O269" s="16" t="n">
        <v>0</v>
      </c>
      <c r="P269" s="16" t="b">
        <v>0</v>
      </c>
    </row>
    <row r="270">
      <c r="A270" s="16" t="inlineStr">
        <is>
          <t>SIM-EST-0448661</t>
        </is>
      </c>
      <c r="B270" s="16" t="inlineStr">
        <is>
          <t>LJV002</t>
        </is>
      </c>
      <c r="C270" s="16" t="inlineStr">
        <is>
          <t>LOJA_VIVARA</t>
        </is>
      </c>
      <c r="D270" s="16" t="inlineStr">
        <is>
          <t>PRODUTO_ACABADO</t>
        </is>
      </c>
      <c r="E270" s="16" t="inlineStr">
        <is>
          <t>JOIAS</t>
        </is>
      </c>
      <c r="F270" s="16" t="inlineStr">
        <is>
          <t>JOI-04178</t>
        </is>
      </c>
      <c r="G270" s="16" t="n">
        <v>3</v>
      </c>
      <c r="H270" s="16" t="n">
        <v>1532.38</v>
      </c>
      <c r="I270" s="16" t="n">
        <v>4597.14</v>
      </c>
      <c r="J270" s="16" t="n">
        <v>1286923129.02</v>
      </c>
      <c r="K270" s="16" t="n">
        <v>3</v>
      </c>
      <c r="L270" s="16" t="n">
        <v>1532.38</v>
      </c>
      <c r="M270" s="16" t="n">
        <v>4597.14</v>
      </c>
      <c r="N270" s="16" t="n">
        <v>0</v>
      </c>
      <c r="O270" s="16" t="n">
        <v>0</v>
      </c>
      <c r="P270" s="16" t="b">
        <v>0</v>
      </c>
    </row>
    <row r="271">
      <c r="A271" s="16" t="inlineStr">
        <is>
          <t>SIM-EST-0450467</t>
        </is>
      </c>
      <c r="B271" s="16" t="inlineStr">
        <is>
          <t>CD02</t>
        </is>
      </c>
      <c r="C271" s="16" t="inlineStr">
        <is>
          <t>CENTRO_DISTRIBUICAO</t>
        </is>
      </c>
      <c r="D271" s="16" t="inlineStr">
        <is>
          <t>PRODUTO_ACABADO</t>
        </is>
      </c>
      <c r="E271" s="16" t="inlineStr">
        <is>
          <t>JOIAS</t>
        </is>
      </c>
      <c r="F271" s="16" t="inlineStr">
        <is>
          <t>JOI-08897</t>
        </is>
      </c>
      <c r="G271" s="16" t="n">
        <v>73</v>
      </c>
      <c r="H271" s="16" t="n">
        <v>5183.24</v>
      </c>
      <c r="I271" s="16" t="n">
        <v>378376.52</v>
      </c>
      <c r="J271" s="16" t="n">
        <v>1291788118.37</v>
      </c>
      <c r="K271" s="16" t="n">
        <v>73</v>
      </c>
      <c r="L271" s="16" t="n">
        <v>5183.24</v>
      </c>
      <c r="M271" s="16" t="n">
        <v>378376.52</v>
      </c>
      <c r="N271" s="16" t="n">
        <v>0</v>
      </c>
      <c r="O271" s="16" t="n">
        <v>0</v>
      </c>
      <c r="P271" s="16" t="b">
        <v>0</v>
      </c>
    </row>
    <row r="272">
      <c r="A272" s="16" t="inlineStr">
        <is>
          <t>SIM-EST-0451874</t>
        </is>
      </c>
      <c r="B272" s="16" t="inlineStr">
        <is>
          <t>LJV196</t>
        </is>
      </c>
      <c r="C272" s="16" t="inlineStr">
        <is>
          <t>LOJA_VIVARA</t>
        </is>
      </c>
      <c r="D272" s="16" t="inlineStr">
        <is>
          <t>PRODUTO_ACABADO</t>
        </is>
      </c>
      <c r="E272" s="16" t="inlineStr">
        <is>
          <t>JOIAS</t>
        </is>
      </c>
      <c r="F272" s="16" t="inlineStr">
        <is>
          <t>JOI-09903</t>
        </is>
      </c>
      <c r="G272" s="16" t="n">
        <v>4</v>
      </c>
      <c r="H272" s="16" t="n">
        <v>6082.01</v>
      </c>
      <c r="I272" s="16" t="n">
        <v>24328.04</v>
      </c>
      <c r="J272" s="16" t="n">
        <v>1296653107.71</v>
      </c>
      <c r="K272" s="16" t="n">
        <v>4</v>
      </c>
      <c r="L272" s="16" t="n">
        <v>6082.01</v>
      </c>
      <c r="M272" s="16" t="n">
        <v>24328.04</v>
      </c>
      <c r="N272" s="16" t="n">
        <v>0</v>
      </c>
      <c r="O272" s="16" t="n">
        <v>0</v>
      </c>
      <c r="P272" s="16" t="b">
        <v>0</v>
      </c>
    </row>
    <row r="273">
      <c r="A273" s="16" t="inlineStr">
        <is>
          <t>SIM-EST-0454015</t>
        </is>
      </c>
      <c r="B273" s="16" t="inlineStr">
        <is>
          <t>FIL-SP</t>
        </is>
      </c>
      <c r="C273" s="16" t="inlineStr">
        <is>
          <t>FILIAL_COMPRAS</t>
        </is>
      </c>
      <c r="D273" s="16" t="inlineStr">
        <is>
          <t>MATERIA_PRIMA</t>
        </is>
      </c>
      <c r="E273" s="16" t="inlineStr">
        <is>
          <t>PEDRAS_CORADAS</t>
        </is>
      </c>
      <c r="F273" s="16" t="inlineStr">
        <is>
          <t>MP-PED-00633</t>
        </is>
      </c>
      <c r="G273" s="16" t="n">
        <v>299.81</v>
      </c>
      <c r="H273" s="16" t="n">
        <v>304.08</v>
      </c>
      <c r="I273" s="16" t="n">
        <v>91166.22</v>
      </c>
      <c r="J273" s="16" t="n">
        <v>1301518097.05</v>
      </c>
      <c r="K273" s="16" t="n">
        <v>299.81</v>
      </c>
      <c r="L273" s="16" t="n">
        <v>304.08</v>
      </c>
      <c r="M273" s="16" t="n">
        <v>91166.22</v>
      </c>
      <c r="N273" s="16" t="n">
        <v>0</v>
      </c>
      <c r="O273" s="16" t="n">
        <v>0</v>
      </c>
      <c r="P273" s="16" t="b">
        <v>0</v>
      </c>
    </row>
    <row r="274">
      <c r="A274" s="16" t="inlineStr">
        <is>
          <t>SIM-EST-0456143</t>
        </is>
      </c>
      <c r="B274" s="16" t="inlineStr">
        <is>
          <t>FAB-MAO</t>
        </is>
      </c>
      <c r="C274" s="16" t="inlineStr">
        <is>
          <t>FABRICA</t>
        </is>
      </c>
      <c r="D274" s="16" t="inlineStr">
        <is>
          <t>MATERIA_PRIMA</t>
        </is>
      </c>
      <c r="E274" s="16" t="inlineStr">
        <is>
          <t>OURO</t>
        </is>
      </c>
      <c r="F274" s="16" t="inlineStr">
        <is>
          <t>MP-OUR-00013</t>
        </is>
      </c>
      <c r="G274" s="16" t="n">
        <v>773.8200000000001</v>
      </c>
      <c r="H274" s="16" t="n">
        <v>355.7</v>
      </c>
      <c r="I274" s="16" t="n">
        <v>275247.77</v>
      </c>
      <c r="J274" s="16" t="n">
        <v>1306383086.4</v>
      </c>
      <c r="K274" s="16" t="n">
        <v>773.8200000000001</v>
      </c>
      <c r="L274" s="16" t="n">
        <v>355.7</v>
      </c>
      <c r="M274" s="16" t="n">
        <v>275247.77</v>
      </c>
      <c r="N274" s="16" t="n">
        <v>0</v>
      </c>
      <c r="O274" s="16" t="n">
        <v>0</v>
      </c>
      <c r="P274" s="16" t="b">
        <v>0</v>
      </c>
    </row>
    <row r="275">
      <c r="A275" s="16" t="inlineStr">
        <is>
          <t>SIM-EST-0457617</t>
        </is>
      </c>
      <c r="B275" s="16" t="inlineStr">
        <is>
          <t>LJV032</t>
        </is>
      </c>
      <c r="C275" s="16" t="inlineStr">
        <is>
          <t>LOJA_VIVARA</t>
        </is>
      </c>
      <c r="D275" s="16" t="inlineStr">
        <is>
          <t>PRODUTO_ACABADO</t>
        </is>
      </c>
      <c r="E275" s="16" t="inlineStr">
        <is>
          <t>JOIAS</t>
        </is>
      </c>
      <c r="F275" s="16" t="inlineStr">
        <is>
          <t>JOI-01833</t>
        </is>
      </c>
      <c r="G275" s="16" t="n">
        <v>3</v>
      </c>
      <c r="H275" s="16" t="n">
        <v>584.9299999999999</v>
      </c>
      <c r="I275" s="16" t="n">
        <v>1754.79</v>
      </c>
      <c r="J275" s="16" t="n">
        <v>1311248075.74</v>
      </c>
      <c r="K275" s="16" t="n">
        <v>3</v>
      </c>
      <c r="L275" s="16" t="n">
        <v>584.9299999999999</v>
      </c>
      <c r="M275" s="16" t="n">
        <v>1754.79</v>
      </c>
      <c r="N275" s="16" t="n">
        <v>0</v>
      </c>
      <c r="O275" s="16" t="n">
        <v>0</v>
      </c>
      <c r="P275" s="16" t="b">
        <v>0</v>
      </c>
    </row>
    <row r="276">
      <c r="A276" s="16" t="inlineStr">
        <is>
          <t>SIM-EST-0459547</t>
        </is>
      </c>
      <c r="B276" s="16" t="inlineStr">
        <is>
          <t>LJV240</t>
        </is>
      </c>
      <c r="C276" s="16" t="inlineStr">
        <is>
          <t>LOJA_VIVARA</t>
        </is>
      </c>
      <c r="D276" s="16" t="inlineStr">
        <is>
          <t>PRODUTO_ACABADO</t>
        </is>
      </c>
      <c r="E276" s="16" t="inlineStr">
        <is>
          <t>RELOGIOS</t>
        </is>
      </c>
      <c r="F276" s="16" t="inlineStr">
        <is>
          <t>REL-03256</t>
        </is>
      </c>
      <c r="G276" s="16" t="n">
        <v>5</v>
      </c>
      <c r="H276" s="16" t="n">
        <v>265.77</v>
      </c>
      <c r="I276" s="16" t="n">
        <v>1328.85</v>
      </c>
      <c r="J276" s="16" t="n">
        <v>1316113065.09</v>
      </c>
      <c r="K276" s="16" t="n">
        <v>5</v>
      </c>
      <c r="L276" s="16" t="n">
        <v>265.77</v>
      </c>
      <c r="M276" s="16" t="n">
        <v>1328.85</v>
      </c>
      <c r="N276" s="16" t="n">
        <v>0</v>
      </c>
      <c r="O276" s="16" t="n">
        <v>0</v>
      </c>
      <c r="P276" s="16" t="b">
        <v>0</v>
      </c>
    </row>
    <row r="277">
      <c r="A277" s="16" t="inlineStr">
        <is>
          <t>SIM-EST-0461433</t>
        </is>
      </c>
      <c r="B277" s="16" t="inlineStr">
        <is>
          <t>LJL111</t>
        </is>
      </c>
      <c r="C277" s="16" t="inlineStr">
        <is>
          <t>LOJA_LIFE</t>
        </is>
      </c>
      <c r="D277" s="16" t="inlineStr">
        <is>
          <t>PRODUTO_ACABADO</t>
        </is>
      </c>
      <c r="E277" s="16" t="inlineStr">
        <is>
          <t>LIFE</t>
        </is>
      </c>
      <c r="F277" s="16" t="inlineStr">
        <is>
          <t>LIF-06878</t>
        </is>
      </c>
      <c r="G277" s="16" t="n">
        <v>3</v>
      </c>
      <c r="H277" s="16" t="n">
        <v>99.59</v>
      </c>
      <c r="I277" s="16" t="n">
        <v>298.77</v>
      </c>
      <c r="J277" s="16" t="n">
        <v>1320978054.43</v>
      </c>
      <c r="K277" s="16" t="n">
        <v>3</v>
      </c>
      <c r="L277" s="16" t="n">
        <v>99.59</v>
      </c>
      <c r="M277" s="16" t="n">
        <v>298.77</v>
      </c>
      <c r="N277" s="16" t="n">
        <v>0</v>
      </c>
      <c r="O277" s="16" t="n">
        <v>0</v>
      </c>
      <c r="P277" s="16" t="b">
        <v>0</v>
      </c>
    </row>
    <row r="278">
      <c r="A278" s="16" t="inlineStr">
        <is>
          <t>SIM-EST-0463285</t>
        </is>
      </c>
      <c r="B278" s="16" t="inlineStr">
        <is>
          <t>CD03</t>
        </is>
      </c>
      <c r="C278" s="16" t="inlineStr">
        <is>
          <t>CENTRO_DISTRIBUICAO</t>
        </is>
      </c>
      <c r="D278" s="16" t="inlineStr">
        <is>
          <t>PRODUTO_ACABADO</t>
        </is>
      </c>
      <c r="E278" s="16" t="inlineStr">
        <is>
          <t>JOIAS</t>
        </is>
      </c>
      <c r="F278" s="16" t="inlineStr">
        <is>
          <t>JOI-01854</t>
        </is>
      </c>
      <c r="G278" s="16" t="n">
        <v>48</v>
      </c>
      <c r="H278" s="16" t="n">
        <v>490.83</v>
      </c>
      <c r="I278" s="16" t="n">
        <v>23559.84</v>
      </c>
      <c r="J278" s="16" t="n">
        <v>1325843043.78</v>
      </c>
      <c r="K278" s="16" t="n">
        <v>48</v>
      </c>
      <c r="L278" s="16" t="n">
        <v>490.83</v>
      </c>
      <c r="M278" s="16" t="n">
        <v>23559.84</v>
      </c>
      <c r="N278" s="16" t="n">
        <v>0</v>
      </c>
      <c r="O278" s="16" t="n">
        <v>0</v>
      </c>
      <c r="P278" s="16" t="b">
        <v>0</v>
      </c>
    </row>
    <row r="279">
      <c r="A279" s="16" t="inlineStr">
        <is>
          <t>SIM-EST-0465218</t>
        </is>
      </c>
      <c r="B279" s="16" t="inlineStr">
        <is>
          <t>FAB-MAO</t>
        </is>
      </c>
      <c r="C279" s="16" t="inlineStr">
        <is>
          <t>FABRICA</t>
        </is>
      </c>
      <c r="D279" s="16" t="inlineStr">
        <is>
          <t>PRODUTO_ACABADO</t>
        </is>
      </c>
      <c r="E279" s="16" t="inlineStr">
        <is>
          <t>JOIAS</t>
        </is>
      </c>
      <c r="F279" s="16" t="inlineStr">
        <is>
          <t>JOI-09447</t>
        </is>
      </c>
      <c r="G279" s="16" t="n">
        <v>42</v>
      </c>
      <c r="H279" s="16" t="n">
        <v>1100.56</v>
      </c>
      <c r="I279" s="16" t="n">
        <v>46223.52</v>
      </c>
      <c r="J279" s="16" t="n">
        <v>1330708033.12</v>
      </c>
      <c r="K279" s="16" t="n">
        <v>42</v>
      </c>
      <c r="L279" s="16" t="n">
        <v>1100.56</v>
      </c>
      <c r="M279" s="16" t="n">
        <v>46223.52</v>
      </c>
      <c r="N279" s="16" t="n">
        <v>0</v>
      </c>
      <c r="O279" s="16" t="n">
        <v>0</v>
      </c>
      <c r="P279" s="16" t="b">
        <v>0</v>
      </c>
    </row>
    <row r="280">
      <c r="A280" s="16" t="inlineStr">
        <is>
          <t>SIM-EST-0467394</t>
        </is>
      </c>
      <c r="B280" s="16" t="inlineStr">
        <is>
          <t>FIL-SP</t>
        </is>
      </c>
      <c r="C280" s="16" t="inlineStr">
        <is>
          <t>FILIAL_COMPRAS</t>
        </is>
      </c>
      <c r="D280" s="16" t="inlineStr">
        <is>
          <t>MATERIA_PRIMA</t>
        </is>
      </c>
      <c r="E280" s="16" t="inlineStr">
        <is>
          <t>DIAMANTES</t>
        </is>
      </c>
      <c r="F280" s="16" t="inlineStr">
        <is>
          <t>MP-DIA-02463</t>
        </is>
      </c>
      <c r="G280" s="16" t="n">
        <v>27.94</v>
      </c>
      <c r="H280" s="16" t="n">
        <v>2213.3</v>
      </c>
      <c r="I280" s="16" t="n">
        <v>61839.6</v>
      </c>
      <c r="J280" s="16" t="n">
        <v>1335573022.47</v>
      </c>
      <c r="K280" s="16" t="n">
        <v>27.94</v>
      </c>
      <c r="L280" s="16" t="n">
        <v>2213.3</v>
      </c>
      <c r="M280" s="16" t="n">
        <v>61839.6</v>
      </c>
      <c r="N280" s="16" t="n">
        <v>0</v>
      </c>
      <c r="O280" s="16" t="n">
        <v>0</v>
      </c>
      <c r="P280" s="16" t="b">
        <v>0</v>
      </c>
    </row>
    <row r="281">
      <c r="A281" s="16" t="inlineStr">
        <is>
          <t>SIM-EST-0469149</t>
        </is>
      </c>
      <c r="B281" s="16" t="inlineStr">
        <is>
          <t>FAB-MAO</t>
        </is>
      </c>
      <c r="C281" s="16" t="inlineStr">
        <is>
          <t>FABRICA</t>
        </is>
      </c>
      <c r="D281" s="16" t="inlineStr">
        <is>
          <t>MATERIA_PRIMA</t>
        </is>
      </c>
      <c r="E281" s="16" t="inlineStr">
        <is>
          <t>OURO</t>
        </is>
      </c>
      <c r="F281" s="16" t="inlineStr">
        <is>
          <t>MP-OUR-00322</t>
        </is>
      </c>
      <c r="G281" s="16" t="n">
        <v>332.9</v>
      </c>
      <c r="H281" s="16" t="n">
        <v>349.97</v>
      </c>
      <c r="I281" s="16" t="n">
        <v>116505.01</v>
      </c>
      <c r="J281" s="16" t="n">
        <v>1340438011.81</v>
      </c>
      <c r="K281" s="16" t="n">
        <v>332.9</v>
      </c>
      <c r="L281" s="16" t="n">
        <v>349.97</v>
      </c>
      <c r="M281" s="16" t="n">
        <v>116505.01</v>
      </c>
      <c r="N281" s="16" t="n">
        <v>0</v>
      </c>
      <c r="O281" s="16" t="n">
        <v>0</v>
      </c>
      <c r="P281" s="16" t="b">
        <v>0</v>
      </c>
    </row>
    <row r="282">
      <c r="A282" s="16" t="inlineStr">
        <is>
          <t>SIM-EST-0471307</t>
        </is>
      </c>
      <c r="B282" s="16" t="inlineStr">
        <is>
          <t>CD02</t>
        </is>
      </c>
      <c r="C282" s="16" t="inlineStr">
        <is>
          <t>CENTRO_DISTRIBUICAO</t>
        </is>
      </c>
      <c r="D282" s="16" t="inlineStr">
        <is>
          <t>PRODUTO_ACABADO</t>
        </is>
      </c>
      <c r="E282" s="16" t="inlineStr">
        <is>
          <t>JOIAS</t>
        </is>
      </c>
      <c r="F282" s="16" t="inlineStr">
        <is>
          <t>JOI-06049</t>
        </is>
      </c>
      <c r="G282" s="16" t="n">
        <v>39</v>
      </c>
      <c r="H282" s="16" t="n">
        <v>916.34</v>
      </c>
      <c r="I282" s="16" t="n">
        <v>35737.26</v>
      </c>
      <c r="J282" s="16" t="n">
        <v>1345303001.16</v>
      </c>
      <c r="K282" s="16" t="n">
        <v>39</v>
      </c>
      <c r="L282" s="16" t="n">
        <v>916.34</v>
      </c>
      <c r="M282" s="16" t="n">
        <v>35737.26</v>
      </c>
      <c r="N282" s="16" t="n">
        <v>0</v>
      </c>
      <c r="O282" s="16" t="n">
        <v>0</v>
      </c>
      <c r="P282" s="16" t="b">
        <v>0</v>
      </c>
    </row>
    <row r="283">
      <c r="A283" s="16" t="inlineStr">
        <is>
          <t>SIM-EST-0473121</t>
        </is>
      </c>
      <c r="B283" s="16" t="inlineStr">
        <is>
          <t>CD01</t>
        </is>
      </c>
      <c r="C283" s="16" t="inlineStr">
        <is>
          <t>CENTRO_DISTRIBUICAO</t>
        </is>
      </c>
      <c r="D283" s="16" t="inlineStr">
        <is>
          <t>PRODUTO_ACABADO</t>
        </is>
      </c>
      <c r="E283" s="16" t="inlineStr">
        <is>
          <t>JOIAS</t>
        </is>
      </c>
      <c r="F283" s="16" t="inlineStr">
        <is>
          <t>JOI-06306</t>
        </is>
      </c>
      <c r="G283" s="16" t="n">
        <v>63</v>
      </c>
      <c r="H283" s="16" t="n">
        <v>6689.99</v>
      </c>
      <c r="I283" s="16" t="n">
        <v>421469.37</v>
      </c>
      <c r="J283" s="16" t="n">
        <v>1350167990.5</v>
      </c>
      <c r="K283" s="16" t="n">
        <v>63</v>
      </c>
      <c r="L283" s="16" t="n">
        <v>6689.99</v>
      </c>
      <c r="M283" s="16" t="n">
        <v>421469.37</v>
      </c>
      <c r="N283" s="16" t="n">
        <v>0</v>
      </c>
      <c r="O283" s="16" t="n">
        <v>0</v>
      </c>
      <c r="P283" s="16" t="b">
        <v>0</v>
      </c>
    </row>
    <row r="284">
      <c r="A284" s="16" t="inlineStr">
        <is>
          <t>SIM-EST-0474631</t>
        </is>
      </c>
      <c r="B284" s="16" t="inlineStr">
        <is>
          <t>CD01</t>
        </is>
      </c>
      <c r="C284" s="16" t="inlineStr">
        <is>
          <t>CENTRO_DISTRIBUICAO</t>
        </is>
      </c>
      <c r="D284" s="16" t="inlineStr">
        <is>
          <t>PRODUTO_ACABADO</t>
        </is>
      </c>
      <c r="E284" s="16" t="inlineStr">
        <is>
          <t>RELOGIOS</t>
        </is>
      </c>
      <c r="F284" s="16" t="inlineStr">
        <is>
          <t>REL-00757</t>
        </is>
      </c>
      <c r="G284" s="16" t="n">
        <v>46</v>
      </c>
      <c r="H284" s="16" t="n">
        <v>1124.54</v>
      </c>
      <c r="I284" s="16" t="n">
        <v>51728.84</v>
      </c>
      <c r="J284" s="16" t="n">
        <v>1355032979.85</v>
      </c>
      <c r="K284" s="16" t="n">
        <v>46</v>
      </c>
      <c r="L284" s="16" t="n">
        <v>1124.54</v>
      </c>
      <c r="M284" s="16" t="n">
        <v>51728.84</v>
      </c>
      <c r="N284" s="16" t="n">
        <v>0</v>
      </c>
      <c r="O284" s="16" t="n">
        <v>0</v>
      </c>
      <c r="P284" s="16" t="b">
        <v>0</v>
      </c>
    </row>
    <row r="285">
      <c r="A285" s="16" t="inlineStr">
        <is>
          <t>SIM-EST-0476388</t>
        </is>
      </c>
      <c r="B285" s="16" t="inlineStr">
        <is>
          <t>LJV109</t>
        </is>
      </c>
      <c r="C285" s="16" t="inlineStr">
        <is>
          <t>LOJA_VIVARA</t>
        </is>
      </c>
      <c r="D285" s="16" t="inlineStr">
        <is>
          <t>PRODUTO_ACABADO</t>
        </is>
      </c>
      <c r="E285" s="16" t="inlineStr">
        <is>
          <t>JOIAS</t>
        </is>
      </c>
      <c r="F285" s="16" t="inlineStr">
        <is>
          <t>JOI-02952</t>
        </is>
      </c>
      <c r="G285" s="16" t="n">
        <v>4</v>
      </c>
      <c r="H285" s="16" t="n">
        <v>3657.27</v>
      </c>
      <c r="I285" s="16" t="n">
        <v>14629.08</v>
      </c>
      <c r="J285" s="16" t="n">
        <v>1359897969.19</v>
      </c>
      <c r="K285" s="16" t="n">
        <v>4</v>
      </c>
      <c r="L285" s="16" t="n">
        <v>3657.27</v>
      </c>
      <c r="M285" s="16" t="n">
        <v>14629.08</v>
      </c>
      <c r="N285" s="16" t="n">
        <v>0</v>
      </c>
      <c r="O285" s="16" t="n">
        <v>0</v>
      </c>
      <c r="P285" s="16" t="b">
        <v>0</v>
      </c>
    </row>
    <row r="286">
      <c r="A286" s="16" t="inlineStr">
        <is>
          <t>SIM-EST-0478153</t>
        </is>
      </c>
      <c r="B286" s="16" t="inlineStr">
        <is>
          <t>CD01</t>
        </is>
      </c>
      <c r="C286" s="16" t="inlineStr">
        <is>
          <t>CENTRO_DISTRIBUICAO</t>
        </is>
      </c>
      <c r="D286" s="16" t="inlineStr">
        <is>
          <t>PRODUTO_ACABADO</t>
        </is>
      </c>
      <c r="E286" s="16" t="inlineStr">
        <is>
          <t>JOIAS</t>
        </is>
      </c>
      <c r="F286" s="16" t="inlineStr">
        <is>
          <t>JOI-00398</t>
        </is>
      </c>
      <c r="G286" s="16" t="n">
        <v>64</v>
      </c>
      <c r="H286" s="16" t="n">
        <v>126.55</v>
      </c>
      <c r="I286" s="16" t="n">
        <v>8099.2</v>
      </c>
      <c r="J286" s="16" t="n">
        <v>1364762958.54</v>
      </c>
      <c r="K286" s="16" t="n">
        <v>64</v>
      </c>
      <c r="L286" s="16" t="n">
        <v>126.55</v>
      </c>
      <c r="M286" s="16" t="n">
        <v>8099.2</v>
      </c>
      <c r="N286" s="16" t="n">
        <v>0</v>
      </c>
      <c r="O286" s="16" t="n">
        <v>0</v>
      </c>
      <c r="P286" s="16" t="b">
        <v>0</v>
      </c>
    </row>
    <row r="287">
      <c r="A287" s="16" t="inlineStr">
        <is>
          <t>SIM-EST-0479971</t>
        </is>
      </c>
      <c r="B287" s="16" t="inlineStr">
        <is>
          <t>LJV053</t>
        </is>
      </c>
      <c r="C287" s="16" t="inlineStr">
        <is>
          <t>LOJA_VIVARA</t>
        </is>
      </c>
      <c r="D287" s="16" t="inlineStr">
        <is>
          <t>PRODUTO_ACABADO</t>
        </is>
      </c>
      <c r="E287" s="16" t="inlineStr">
        <is>
          <t>JOIAS</t>
        </is>
      </c>
      <c r="F287" s="16" t="inlineStr">
        <is>
          <t>JOI-01725</t>
        </is>
      </c>
      <c r="G287" s="16" t="n">
        <v>1</v>
      </c>
      <c r="H287" s="16" t="n">
        <v>2867.5</v>
      </c>
      <c r="I287" s="16" t="n">
        <v>2867.5</v>
      </c>
      <c r="J287" s="16" t="n">
        <v>1369627947.88</v>
      </c>
      <c r="K287" s="16" t="n">
        <v>1</v>
      </c>
      <c r="L287" s="16" t="n">
        <v>2867.5</v>
      </c>
      <c r="M287" s="16" t="n">
        <v>2867.5</v>
      </c>
      <c r="N287" s="16" t="n">
        <v>0</v>
      </c>
      <c r="O287" s="16" t="n">
        <v>0</v>
      </c>
      <c r="P287" s="16" t="b">
        <v>0</v>
      </c>
    </row>
    <row r="288">
      <c r="A288" s="16" t="inlineStr">
        <is>
          <t>SIM-EST-0481886</t>
        </is>
      </c>
      <c r="B288" s="16" t="inlineStr">
        <is>
          <t>LJV096</t>
        </is>
      </c>
      <c r="C288" s="16" t="inlineStr">
        <is>
          <t>LOJA_VIVARA</t>
        </is>
      </c>
      <c r="D288" s="16" t="inlineStr">
        <is>
          <t>PRODUTO_ACABADO</t>
        </is>
      </c>
      <c r="E288" s="16" t="inlineStr">
        <is>
          <t>JOIAS</t>
        </is>
      </c>
      <c r="F288" s="16" t="inlineStr">
        <is>
          <t>JOI-04635</t>
        </is>
      </c>
      <c r="G288" s="16" t="n">
        <v>3</v>
      </c>
      <c r="H288" s="16" t="n">
        <v>5573.77</v>
      </c>
      <c r="I288" s="16" t="n">
        <v>16721.31</v>
      </c>
      <c r="J288" s="16" t="n">
        <v>1374492937.22</v>
      </c>
      <c r="K288" s="16" t="n">
        <v>3</v>
      </c>
      <c r="L288" s="16" t="n">
        <v>5573.77</v>
      </c>
      <c r="M288" s="16" t="n">
        <v>16721.31</v>
      </c>
      <c r="N288" s="16" t="n">
        <v>0</v>
      </c>
      <c r="O288" s="16" t="n">
        <v>0</v>
      </c>
      <c r="P288" s="16" t="b">
        <v>0</v>
      </c>
    </row>
    <row r="289">
      <c r="A289" s="16" t="inlineStr">
        <is>
          <t>SIM-EST-0483682</t>
        </is>
      </c>
      <c r="B289" s="16" t="inlineStr">
        <is>
          <t>CD03</t>
        </is>
      </c>
      <c r="C289" s="16" t="inlineStr">
        <is>
          <t>CENTRO_DISTRIBUICAO</t>
        </is>
      </c>
      <c r="D289" s="16" t="inlineStr">
        <is>
          <t>PRODUTO_ACABADO</t>
        </is>
      </c>
      <c r="E289" s="16" t="inlineStr">
        <is>
          <t>JOIAS</t>
        </is>
      </c>
      <c r="F289" s="16" t="inlineStr">
        <is>
          <t>JOI-10589</t>
        </is>
      </c>
      <c r="G289" s="16" t="n">
        <v>30</v>
      </c>
      <c r="H289" s="16" t="n">
        <v>3251.75</v>
      </c>
      <c r="I289" s="16" t="n">
        <v>97552.5</v>
      </c>
      <c r="J289" s="16" t="n">
        <v>1379357926.57</v>
      </c>
      <c r="K289" s="16" t="n">
        <v>30</v>
      </c>
      <c r="L289" s="16" t="n">
        <v>3251.75</v>
      </c>
      <c r="M289" s="16" t="n">
        <v>97552.5</v>
      </c>
      <c r="N289" s="16" t="n">
        <v>0</v>
      </c>
      <c r="O289" s="16" t="n">
        <v>0</v>
      </c>
      <c r="P289" s="16" t="b">
        <v>0</v>
      </c>
    </row>
    <row r="290">
      <c r="A290" s="16" t="inlineStr">
        <is>
          <t>SIM-EST-0485060</t>
        </is>
      </c>
      <c r="B290" s="16" t="inlineStr">
        <is>
          <t>LJV114</t>
        </is>
      </c>
      <c r="C290" s="16" t="inlineStr">
        <is>
          <t>LOJA_VIVARA</t>
        </is>
      </c>
      <c r="D290" s="16" t="inlineStr">
        <is>
          <t>PRODUTO_ACABADO</t>
        </is>
      </c>
      <c r="E290" s="16" t="inlineStr">
        <is>
          <t>JOIAS</t>
        </is>
      </c>
      <c r="F290" s="16" t="inlineStr">
        <is>
          <t>JOI-11197</t>
        </is>
      </c>
      <c r="G290" s="16" t="n">
        <v>5</v>
      </c>
      <c r="H290" s="16" t="n">
        <v>4332.59</v>
      </c>
      <c r="I290" s="16" t="n">
        <v>21662.95</v>
      </c>
      <c r="J290" s="16" t="n">
        <v>1384222915.91</v>
      </c>
      <c r="K290" s="16" t="n">
        <v>5</v>
      </c>
      <c r="L290" s="16" t="n">
        <v>4332.59</v>
      </c>
      <c r="M290" s="16" t="n">
        <v>21662.95</v>
      </c>
      <c r="N290" s="16" t="n">
        <v>0</v>
      </c>
      <c r="O290" s="16" t="n">
        <v>0</v>
      </c>
      <c r="P290" s="16" t="b">
        <v>0</v>
      </c>
    </row>
    <row r="291">
      <c r="A291" s="16" t="inlineStr">
        <is>
          <t>SIM-EST-0486843</t>
        </is>
      </c>
      <c r="B291" s="16" t="inlineStr">
        <is>
          <t>FAB-MAO</t>
        </is>
      </c>
      <c r="C291" s="16" t="inlineStr">
        <is>
          <t>FABRICA</t>
        </is>
      </c>
      <c r="D291" s="16" t="inlineStr">
        <is>
          <t>MATERIA_PRIMA</t>
        </is>
      </c>
      <c r="E291" s="16" t="inlineStr">
        <is>
          <t>DIAMANTES</t>
        </is>
      </c>
      <c r="F291" s="16" t="inlineStr">
        <is>
          <t>MP-DIA-00703</t>
        </is>
      </c>
      <c r="G291" s="16" t="n">
        <v>16.03</v>
      </c>
      <c r="H291" s="16" t="n">
        <v>3489.77</v>
      </c>
      <c r="I291" s="16" t="n">
        <v>55941.01</v>
      </c>
      <c r="J291" s="16" t="n">
        <v>1389087905.26</v>
      </c>
      <c r="K291" s="16" t="n">
        <v>16.03</v>
      </c>
      <c r="L291" s="16" t="n">
        <v>3489.77</v>
      </c>
      <c r="M291" s="16" t="n">
        <v>55941.01</v>
      </c>
      <c r="N291" s="16" t="n">
        <v>0</v>
      </c>
      <c r="O291" s="16" t="n">
        <v>0</v>
      </c>
      <c r="P291" s="16" t="b">
        <v>0</v>
      </c>
    </row>
    <row r="292">
      <c r="A292" s="16" t="inlineStr">
        <is>
          <t>SIM-EST-0488515</t>
        </is>
      </c>
      <c r="B292" s="16" t="inlineStr">
        <is>
          <t>CD03</t>
        </is>
      </c>
      <c r="C292" s="16" t="inlineStr">
        <is>
          <t>CENTRO_DISTRIBUICAO</t>
        </is>
      </c>
      <c r="D292" s="16" t="inlineStr">
        <is>
          <t>PRODUTO_ACABADO</t>
        </is>
      </c>
      <c r="E292" s="16" t="inlineStr">
        <is>
          <t>JOIAS</t>
        </is>
      </c>
      <c r="F292" s="16" t="inlineStr">
        <is>
          <t>JOI-11637</t>
        </is>
      </c>
      <c r="G292" s="16" t="n">
        <v>103</v>
      </c>
      <c r="H292" s="16" t="n">
        <v>821.46</v>
      </c>
      <c r="I292" s="16" t="n">
        <v>84610.38</v>
      </c>
      <c r="J292" s="16" t="n">
        <v>1393952894.6</v>
      </c>
      <c r="K292" s="16" t="n">
        <v>103</v>
      </c>
      <c r="L292" s="16" t="n">
        <v>821.46</v>
      </c>
      <c r="M292" s="16" t="n">
        <v>84610.38</v>
      </c>
      <c r="N292" s="16" t="n">
        <v>0</v>
      </c>
      <c r="O292" s="16" t="n">
        <v>0</v>
      </c>
      <c r="P292" s="16" t="b">
        <v>0</v>
      </c>
    </row>
    <row r="293">
      <c r="A293" s="16" t="inlineStr">
        <is>
          <t>SIM-EST-0489766</t>
        </is>
      </c>
      <c r="B293" s="16" t="inlineStr">
        <is>
          <t>FAB-MAO</t>
        </is>
      </c>
      <c r="C293" s="16" t="inlineStr">
        <is>
          <t>FABRICA</t>
        </is>
      </c>
      <c r="D293" s="16" t="inlineStr">
        <is>
          <t>MATERIA_PRIMA</t>
        </is>
      </c>
      <c r="E293" s="16" t="inlineStr">
        <is>
          <t>OURO</t>
        </is>
      </c>
      <c r="F293" s="16" t="inlineStr">
        <is>
          <t>MP-OUR-00642</t>
        </is>
      </c>
      <c r="G293" s="16" t="n">
        <v>315.28</v>
      </c>
      <c r="H293" s="16" t="n">
        <v>354.86</v>
      </c>
      <c r="I293" s="16" t="n">
        <v>111880.26</v>
      </c>
      <c r="J293" s="16" t="n">
        <v>1398817883.95</v>
      </c>
      <c r="K293" s="16" t="n">
        <v>315.28</v>
      </c>
      <c r="L293" s="16" t="n">
        <v>354.86</v>
      </c>
      <c r="M293" s="16" t="n">
        <v>111880.26</v>
      </c>
      <c r="N293" s="16" t="n">
        <v>0</v>
      </c>
      <c r="O293" s="16" t="n">
        <v>0</v>
      </c>
      <c r="P293" s="16" t="b">
        <v>0</v>
      </c>
    </row>
    <row r="294">
      <c r="A294" s="16" t="inlineStr">
        <is>
          <t>SIM-EST-0491617</t>
        </is>
      </c>
      <c r="B294" s="16" t="inlineStr">
        <is>
          <t>FAB-MAO</t>
        </is>
      </c>
      <c r="C294" s="16" t="inlineStr">
        <is>
          <t>FABRICA</t>
        </is>
      </c>
      <c r="D294" s="16" t="inlineStr">
        <is>
          <t>PRODUTO_ACABADO</t>
        </is>
      </c>
      <c r="E294" s="16" t="inlineStr">
        <is>
          <t>JOIAS</t>
        </is>
      </c>
      <c r="F294" s="16" t="inlineStr">
        <is>
          <t>JOI-00875</t>
        </is>
      </c>
      <c r="G294" s="16" t="n">
        <v>27</v>
      </c>
      <c r="H294" s="16" t="n">
        <v>5137.87</v>
      </c>
      <c r="I294" s="16" t="n">
        <v>138722.49</v>
      </c>
      <c r="J294" s="16" t="n">
        <v>1403682873.29</v>
      </c>
      <c r="K294" s="16" t="n">
        <v>27</v>
      </c>
      <c r="L294" s="16" t="n">
        <v>5137.87</v>
      </c>
      <c r="M294" s="16" t="n">
        <v>138722.49</v>
      </c>
      <c r="N294" s="16" t="n">
        <v>0</v>
      </c>
      <c r="O294" s="16" t="n">
        <v>0</v>
      </c>
      <c r="P294" s="16" t="b">
        <v>0</v>
      </c>
    </row>
    <row r="295">
      <c r="A295" s="16" t="inlineStr">
        <is>
          <t>SIM-EST-0493306</t>
        </is>
      </c>
      <c r="B295" s="16" t="inlineStr">
        <is>
          <t>CD03</t>
        </is>
      </c>
      <c r="C295" s="16" t="inlineStr">
        <is>
          <t>CENTRO_DISTRIBUICAO</t>
        </is>
      </c>
      <c r="D295" s="16" t="inlineStr">
        <is>
          <t>PRODUTO_ACABADO</t>
        </is>
      </c>
      <c r="E295" s="16" t="inlineStr">
        <is>
          <t>JOIAS</t>
        </is>
      </c>
      <c r="F295" s="16" t="inlineStr">
        <is>
          <t>JOI-08033</t>
        </is>
      </c>
      <c r="G295" s="16" t="n">
        <v>8</v>
      </c>
      <c r="H295" s="16" t="n">
        <v>1079.59</v>
      </c>
      <c r="I295" s="16" t="n">
        <v>8636.719999999999</v>
      </c>
      <c r="J295" s="16" t="n">
        <v>1408547862.64</v>
      </c>
      <c r="K295" s="16" t="n">
        <v>8</v>
      </c>
      <c r="L295" s="16" t="n">
        <v>1079.59</v>
      </c>
      <c r="M295" s="16" t="n">
        <v>8636.719999999999</v>
      </c>
      <c r="N295" s="16" t="n">
        <v>0</v>
      </c>
      <c r="O295" s="16" t="n">
        <v>0</v>
      </c>
      <c r="P295" s="16" t="b">
        <v>0</v>
      </c>
    </row>
    <row r="296">
      <c r="A296" s="16" t="inlineStr">
        <is>
          <t>SIM-EST-0495195</t>
        </is>
      </c>
      <c r="B296" s="16" t="inlineStr">
        <is>
          <t>FIL-SP</t>
        </is>
      </c>
      <c r="C296" s="16" t="inlineStr">
        <is>
          <t>FILIAL_COMPRAS</t>
        </is>
      </c>
      <c r="D296" s="16" t="inlineStr">
        <is>
          <t>MATERIA_PRIMA</t>
        </is>
      </c>
      <c r="E296" s="16" t="inlineStr">
        <is>
          <t>LIGAS_E_INSUMOS</t>
        </is>
      </c>
      <c r="F296" s="16" t="inlineStr">
        <is>
          <t>MP-LIG-00252</t>
        </is>
      </c>
      <c r="G296" s="16" t="n">
        <v>96334.59</v>
      </c>
      <c r="H296" s="16" t="n">
        <v>2.04</v>
      </c>
      <c r="I296" s="16" t="n">
        <v>196522.56</v>
      </c>
      <c r="J296" s="16" t="n">
        <v>1413412851.98</v>
      </c>
      <c r="K296" s="16" t="n">
        <v>96334.59</v>
      </c>
      <c r="L296" s="16" t="n">
        <v>2.04</v>
      </c>
      <c r="M296" s="16" t="n">
        <v>196522.56</v>
      </c>
      <c r="N296" s="16" t="n">
        <v>0</v>
      </c>
      <c r="O296" s="16" t="n">
        <v>0</v>
      </c>
      <c r="P296" s="16" t="b">
        <v>0</v>
      </c>
    </row>
    <row r="297">
      <c r="A297" s="16" t="inlineStr">
        <is>
          <t>SIM-EST-0496978</t>
        </is>
      </c>
      <c r="B297" s="16" t="inlineStr">
        <is>
          <t>LJV074</t>
        </is>
      </c>
      <c r="C297" s="16" t="inlineStr">
        <is>
          <t>LOJA_VIVARA</t>
        </is>
      </c>
      <c r="D297" s="16" t="inlineStr">
        <is>
          <t>PRODUTO_ACABADO</t>
        </is>
      </c>
      <c r="E297" s="16" t="inlineStr">
        <is>
          <t>JOIAS</t>
        </is>
      </c>
      <c r="F297" s="16" t="inlineStr">
        <is>
          <t>JOI-00281</t>
        </is>
      </c>
      <c r="G297" s="16" t="n">
        <v>2</v>
      </c>
      <c r="H297" s="16" t="n">
        <v>2247.44</v>
      </c>
      <c r="I297" s="16" t="n">
        <v>4494.88</v>
      </c>
      <c r="J297" s="16" t="n">
        <v>1418277841.33</v>
      </c>
      <c r="K297" s="16" t="n">
        <v>2</v>
      </c>
      <c r="L297" s="16" t="n">
        <v>2247.44</v>
      </c>
      <c r="M297" s="16" t="n">
        <v>4494.88</v>
      </c>
      <c r="N297" s="16" t="n">
        <v>0</v>
      </c>
      <c r="O297" s="16" t="n">
        <v>0</v>
      </c>
      <c r="P297" s="16" t="b">
        <v>0</v>
      </c>
    </row>
    <row r="298">
      <c r="A298" s="16" t="inlineStr">
        <is>
          <t>SIM-EST-0498683</t>
        </is>
      </c>
      <c r="B298" s="16" t="inlineStr">
        <is>
          <t>CD03</t>
        </is>
      </c>
      <c r="C298" s="16" t="inlineStr">
        <is>
          <t>CENTRO_DISTRIBUICAO</t>
        </is>
      </c>
      <c r="D298" s="16" t="inlineStr">
        <is>
          <t>PRODUTO_ACABADO</t>
        </is>
      </c>
      <c r="E298" s="16" t="inlineStr">
        <is>
          <t>JOIAS</t>
        </is>
      </c>
      <c r="F298" s="16" t="inlineStr">
        <is>
          <t>JOI-04334</t>
        </is>
      </c>
      <c r="G298" s="16" t="n">
        <v>48</v>
      </c>
      <c r="H298" s="16" t="n">
        <v>1309.98</v>
      </c>
      <c r="I298" s="16" t="n">
        <v>62879.04</v>
      </c>
      <c r="J298" s="16" t="n">
        <v>1423142830.67</v>
      </c>
      <c r="K298" s="16" t="n">
        <v>48</v>
      </c>
      <c r="L298" s="16" t="n">
        <v>1309.98</v>
      </c>
      <c r="M298" s="16" t="n">
        <v>62879.04</v>
      </c>
      <c r="N298" s="16" t="n">
        <v>0</v>
      </c>
      <c r="O298" s="16" t="n">
        <v>0</v>
      </c>
      <c r="P298" s="16" t="b">
        <v>0</v>
      </c>
    </row>
    <row r="299">
      <c r="A299" s="16" t="inlineStr">
        <is>
          <t>SIM-EST-0500234</t>
        </is>
      </c>
      <c r="B299" s="16" t="inlineStr">
        <is>
          <t>FAB-MAO</t>
        </is>
      </c>
      <c r="C299" s="16" t="inlineStr">
        <is>
          <t>FABRICA</t>
        </is>
      </c>
      <c r="D299" s="16" t="inlineStr">
        <is>
          <t>MATERIA_PRIMA</t>
        </is>
      </c>
      <c r="E299" s="16" t="inlineStr">
        <is>
          <t>PEDRAS_CORADAS</t>
        </is>
      </c>
      <c r="F299" s="16" t="inlineStr">
        <is>
          <t>MP-PED-00858</t>
        </is>
      </c>
      <c r="G299" s="16" t="n">
        <v>61.83</v>
      </c>
      <c r="H299" s="16" t="n">
        <v>833.1900000000001</v>
      </c>
      <c r="I299" s="16" t="n">
        <v>51516.14</v>
      </c>
      <c r="J299" s="16" t="n">
        <v>1428007820.02</v>
      </c>
      <c r="K299" s="16" t="n">
        <v>61.83</v>
      </c>
      <c r="L299" s="16" t="n">
        <v>833.1900000000001</v>
      </c>
      <c r="M299" s="16" t="n">
        <v>51516.14</v>
      </c>
      <c r="N299" s="16" t="n">
        <v>0</v>
      </c>
      <c r="O299" s="16" t="n">
        <v>0</v>
      </c>
      <c r="P299" s="16" t="b">
        <v>0</v>
      </c>
    </row>
    <row r="300">
      <c r="A300" s="16" t="inlineStr">
        <is>
          <t>SIM-EST-0501697</t>
        </is>
      </c>
      <c r="B300" s="16" t="inlineStr">
        <is>
          <t>CD03</t>
        </is>
      </c>
      <c r="C300" s="16" t="inlineStr">
        <is>
          <t>CENTRO_DISTRIBUICAO</t>
        </is>
      </c>
      <c r="D300" s="16" t="inlineStr">
        <is>
          <t>PRODUTO_ACABADO</t>
        </is>
      </c>
      <c r="E300" s="16" t="inlineStr">
        <is>
          <t>JOIAS</t>
        </is>
      </c>
      <c r="F300" s="16" t="inlineStr">
        <is>
          <t>JOI-08106</t>
        </is>
      </c>
      <c r="G300" s="16" t="n">
        <v>72</v>
      </c>
      <c r="H300" s="16" t="n">
        <v>2346.16</v>
      </c>
      <c r="I300" s="16" t="n">
        <v>168923.52</v>
      </c>
      <c r="J300" s="16" t="n">
        <v>1432872809.36</v>
      </c>
      <c r="K300" s="16" t="n">
        <v>72</v>
      </c>
      <c r="L300" s="16" t="n">
        <v>2346.16</v>
      </c>
      <c r="M300" s="16" t="n">
        <v>168923.52</v>
      </c>
      <c r="N300" s="16" t="n">
        <v>0</v>
      </c>
      <c r="O300" s="16" t="n">
        <v>0</v>
      </c>
      <c r="P300" s="16" t="b">
        <v>0</v>
      </c>
    </row>
    <row r="301">
      <c r="A301" s="16" t="inlineStr">
        <is>
          <t>SIM-EST-0503216</t>
        </is>
      </c>
      <c r="B301" s="16" t="inlineStr">
        <is>
          <t>CD03</t>
        </is>
      </c>
      <c r="C301" s="16" t="inlineStr">
        <is>
          <t>CENTRO_DISTRIBUICAO</t>
        </is>
      </c>
      <c r="D301" s="16" t="inlineStr">
        <is>
          <t>PRODUTO_ACABADO</t>
        </is>
      </c>
      <c r="E301" s="16" t="inlineStr">
        <is>
          <t>JOIAS</t>
        </is>
      </c>
      <c r="F301" s="16" t="inlineStr">
        <is>
          <t>JOI-11361</t>
        </is>
      </c>
      <c r="G301" s="16" t="n">
        <v>51</v>
      </c>
      <c r="H301" s="16" t="n">
        <v>2911.77</v>
      </c>
      <c r="I301" s="16" t="n">
        <v>148500.27</v>
      </c>
      <c r="J301" s="16" t="n">
        <v>1437737798.71</v>
      </c>
      <c r="K301" s="16" t="n">
        <v>51</v>
      </c>
      <c r="L301" s="16" t="n">
        <v>2911.77</v>
      </c>
      <c r="M301" s="16" t="n">
        <v>148500.27</v>
      </c>
      <c r="N301" s="16" t="n">
        <v>0</v>
      </c>
      <c r="O301" s="16" t="n">
        <v>0</v>
      </c>
      <c r="P301" s="16" t="b">
        <v>0</v>
      </c>
    </row>
    <row r="302">
      <c r="A302" s="16" t="inlineStr">
        <is>
          <t>SIM-EST-0504895</t>
        </is>
      </c>
      <c r="B302" s="16" t="inlineStr">
        <is>
          <t>LJV260</t>
        </is>
      </c>
      <c r="C302" s="16" t="inlineStr">
        <is>
          <t>LOJA_VIVARA</t>
        </is>
      </c>
      <c r="D302" s="16" t="inlineStr">
        <is>
          <t>PRODUTO_ACABADO</t>
        </is>
      </c>
      <c r="E302" s="16" t="inlineStr">
        <is>
          <t>RELOGIOS</t>
        </is>
      </c>
      <c r="F302" s="16" t="inlineStr">
        <is>
          <t>REL-03253</t>
        </is>
      </c>
      <c r="G302" s="16" t="n">
        <v>3</v>
      </c>
      <c r="H302" s="16" t="n">
        <v>825.33</v>
      </c>
      <c r="I302" s="16" t="n">
        <v>2475.99</v>
      </c>
      <c r="J302" s="16" t="n">
        <v>1442602788.05</v>
      </c>
      <c r="K302" s="16" t="n">
        <v>3</v>
      </c>
      <c r="L302" s="16" t="n">
        <v>825.33</v>
      </c>
      <c r="M302" s="16" t="n">
        <v>2475.99</v>
      </c>
      <c r="N302" s="16" t="n">
        <v>0</v>
      </c>
      <c r="O302" s="16" t="n">
        <v>0</v>
      </c>
      <c r="P302" s="16" t="b">
        <v>0</v>
      </c>
    </row>
    <row r="303">
      <c r="A303" s="16" t="inlineStr">
        <is>
          <t>SIM-EST-0506469</t>
        </is>
      </c>
      <c r="B303" s="16" t="inlineStr">
        <is>
          <t>LJV141</t>
        </is>
      </c>
      <c r="C303" s="16" t="inlineStr">
        <is>
          <t>LOJA_VIVARA</t>
        </is>
      </c>
      <c r="D303" s="16" t="inlineStr">
        <is>
          <t>PRODUTO_ACABADO</t>
        </is>
      </c>
      <c r="E303" s="16" t="inlineStr">
        <is>
          <t>JOIAS</t>
        </is>
      </c>
      <c r="F303" s="16" t="inlineStr">
        <is>
          <t>JOI-06661</t>
        </is>
      </c>
      <c r="G303" s="16" t="n">
        <v>5</v>
      </c>
      <c r="H303" s="16" t="n">
        <v>335.78</v>
      </c>
      <c r="I303" s="16" t="n">
        <v>1678.9</v>
      </c>
      <c r="J303" s="16" t="n">
        <v>1447467777.39</v>
      </c>
      <c r="K303" s="16" t="n">
        <v>5</v>
      </c>
      <c r="L303" s="16" t="n">
        <v>335.78</v>
      </c>
      <c r="M303" s="16" t="n">
        <v>1678.9</v>
      </c>
      <c r="N303" s="16" t="n">
        <v>0</v>
      </c>
      <c r="O303" s="16" t="n">
        <v>0</v>
      </c>
      <c r="P303" s="16" t="b">
        <v>0</v>
      </c>
    </row>
    <row r="304">
      <c r="A304" s="16" t="inlineStr">
        <is>
          <t>SIM-EST-0508115</t>
        </is>
      </c>
      <c r="B304" s="16" t="inlineStr">
        <is>
          <t>CD03</t>
        </is>
      </c>
      <c r="C304" s="16" t="inlineStr">
        <is>
          <t>CENTRO_DISTRIBUICAO</t>
        </is>
      </c>
      <c r="D304" s="16" t="inlineStr">
        <is>
          <t>PRODUTO_ACABADO</t>
        </is>
      </c>
      <c r="E304" s="16" t="inlineStr">
        <is>
          <t>JOIAS</t>
        </is>
      </c>
      <c r="F304" s="16" t="inlineStr">
        <is>
          <t>JOI-10366</t>
        </is>
      </c>
      <c r="G304" s="16" t="n">
        <v>40</v>
      </c>
      <c r="H304" s="16" t="n">
        <v>3334.23</v>
      </c>
      <c r="I304" s="16" t="n">
        <v>133369.2</v>
      </c>
      <c r="J304" s="16" t="n">
        <v>1452332766.74</v>
      </c>
      <c r="K304" s="16" t="n">
        <v>40</v>
      </c>
      <c r="L304" s="16" t="n">
        <v>3334.23</v>
      </c>
      <c r="M304" s="16" t="n">
        <v>133369.2</v>
      </c>
      <c r="N304" s="16" t="n">
        <v>0</v>
      </c>
      <c r="O304" s="16" t="n">
        <v>0</v>
      </c>
      <c r="P304" s="16" t="b">
        <v>0</v>
      </c>
    </row>
    <row r="305">
      <c r="A305" s="16" t="inlineStr">
        <is>
          <t>SIM-EST-0509908</t>
        </is>
      </c>
      <c r="B305" s="16" t="inlineStr">
        <is>
          <t>LJV017</t>
        </is>
      </c>
      <c r="C305" s="16" t="inlineStr">
        <is>
          <t>LOJA_VIVARA</t>
        </is>
      </c>
      <c r="D305" s="16" t="inlineStr">
        <is>
          <t>PRODUTO_ACABADO</t>
        </is>
      </c>
      <c r="E305" s="16" t="inlineStr">
        <is>
          <t>RELOGIOS</t>
        </is>
      </c>
      <c r="F305" s="16" t="inlineStr">
        <is>
          <t>REL-01055</t>
        </is>
      </c>
      <c r="G305" s="16" t="n">
        <v>4</v>
      </c>
      <c r="H305" s="16" t="n">
        <v>564.5599999999999</v>
      </c>
      <c r="I305" s="16" t="n">
        <v>2258.24</v>
      </c>
      <c r="J305" s="16" t="n">
        <v>1457197756.08</v>
      </c>
      <c r="K305" s="16" t="n">
        <v>4</v>
      </c>
      <c r="L305" s="16" t="n">
        <v>564.5599999999999</v>
      </c>
      <c r="M305" s="16" t="n">
        <v>2258.24</v>
      </c>
      <c r="N305" s="16" t="n">
        <v>0</v>
      </c>
      <c r="O305" s="16" t="n">
        <v>0</v>
      </c>
      <c r="P305" s="16" t="b">
        <v>0</v>
      </c>
    </row>
    <row r="306">
      <c r="A306" s="16" t="inlineStr">
        <is>
          <t>SIM-EST-0511718</t>
        </is>
      </c>
      <c r="B306" s="16" t="inlineStr">
        <is>
          <t>FAB-MAO</t>
        </is>
      </c>
      <c r="C306" s="16" t="inlineStr">
        <is>
          <t>FABRICA</t>
        </is>
      </c>
      <c r="D306" s="16" t="inlineStr">
        <is>
          <t>MATERIA_PRIMA</t>
        </is>
      </c>
      <c r="E306" s="16" t="inlineStr">
        <is>
          <t>PEDRAS_CORADAS</t>
        </is>
      </c>
      <c r="F306" s="16" t="inlineStr">
        <is>
          <t>MP-PED-00610</t>
        </is>
      </c>
      <c r="G306" s="16" t="n">
        <v>43.29</v>
      </c>
      <c r="H306" s="16" t="n">
        <v>1027.16</v>
      </c>
      <c r="I306" s="16" t="n">
        <v>44465.76</v>
      </c>
      <c r="J306" s="16" t="n">
        <v>1462062745.43</v>
      </c>
      <c r="K306" s="16" t="n">
        <v>43.29</v>
      </c>
      <c r="L306" s="16" t="n">
        <v>1027.16</v>
      </c>
      <c r="M306" s="16" t="n">
        <v>44465.76</v>
      </c>
      <c r="N306" s="16" t="n">
        <v>0</v>
      </c>
      <c r="O306" s="16" t="n">
        <v>0</v>
      </c>
      <c r="P306" s="16" t="b">
        <v>0</v>
      </c>
    </row>
    <row r="307">
      <c r="A307" s="16" t="inlineStr">
        <is>
          <t>SIM-EST-0513568</t>
        </is>
      </c>
      <c r="B307" s="16" t="inlineStr">
        <is>
          <t>FAB-MAO</t>
        </is>
      </c>
      <c r="C307" s="16" t="inlineStr">
        <is>
          <t>FABRICA</t>
        </is>
      </c>
      <c r="D307" s="16" t="inlineStr">
        <is>
          <t>MATERIA_PRIMA</t>
        </is>
      </c>
      <c r="E307" s="16" t="inlineStr">
        <is>
          <t>OURO</t>
        </is>
      </c>
      <c r="F307" s="16" t="inlineStr">
        <is>
          <t>MP-OUR-00406</t>
        </is>
      </c>
      <c r="G307" s="16" t="n">
        <v>1590.52</v>
      </c>
      <c r="H307" s="16" t="n">
        <v>350.44</v>
      </c>
      <c r="I307" s="16" t="n">
        <v>557381.83</v>
      </c>
      <c r="J307" s="16" t="n">
        <v>1466927734.77</v>
      </c>
      <c r="K307" s="16" t="n">
        <v>1590.52</v>
      </c>
      <c r="L307" s="16" t="n">
        <v>350.44</v>
      </c>
      <c r="M307" s="16" t="n">
        <v>557381.83</v>
      </c>
      <c r="N307" s="16" t="n">
        <v>0</v>
      </c>
      <c r="O307" s="16" t="n">
        <v>0</v>
      </c>
      <c r="P307" s="16" t="b">
        <v>0</v>
      </c>
    </row>
    <row r="308">
      <c r="A308" s="16" t="inlineStr">
        <is>
          <t>SIM-EST-0515411</t>
        </is>
      </c>
      <c r="B308" s="16" t="inlineStr">
        <is>
          <t>FIL-SP</t>
        </is>
      </c>
      <c r="C308" s="16" t="inlineStr">
        <is>
          <t>FILIAL_COMPRAS</t>
        </is>
      </c>
      <c r="D308" s="16" t="inlineStr">
        <is>
          <t>MATERIA_PRIMA</t>
        </is>
      </c>
      <c r="E308" s="16" t="inlineStr">
        <is>
          <t>PEDRAS_CORADAS</t>
        </is>
      </c>
      <c r="F308" s="16" t="inlineStr">
        <is>
          <t>MP-PED-00849</t>
        </is>
      </c>
      <c r="G308" s="16" t="n">
        <v>88.41</v>
      </c>
      <c r="H308" s="16" t="n">
        <v>332.56</v>
      </c>
      <c r="I308" s="16" t="n">
        <v>29401.63</v>
      </c>
      <c r="J308" s="16" t="n">
        <v>1471792724.12</v>
      </c>
      <c r="K308" s="16" t="n">
        <v>88.41</v>
      </c>
      <c r="L308" s="16" t="n">
        <v>332.56</v>
      </c>
      <c r="M308" s="16" t="n">
        <v>29401.63</v>
      </c>
      <c r="N308" s="16" t="n">
        <v>0</v>
      </c>
      <c r="O308" s="16" t="n">
        <v>0</v>
      </c>
      <c r="P308" s="16" t="b">
        <v>0</v>
      </c>
    </row>
    <row r="309">
      <c r="A309" s="16" t="inlineStr">
        <is>
          <t>SIM-EST-0517376</t>
        </is>
      </c>
      <c r="B309" s="16" t="inlineStr">
        <is>
          <t>LJV095</t>
        </is>
      </c>
      <c r="C309" s="16" t="inlineStr">
        <is>
          <t>LOJA_VIVARA</t>
        </is>
      </c>
      <c r="D309" s="16" t="inlineStr">
        <is>
          <t>PRODUTO_ACABADO</t>
        </is>
      </c>
      <c r="E309" s="16" t="inlineStr">
        <is>
          <t>JOIAS</t>
        </is>
      </c>
      <c r="F309" s="16" t="inlineStr">
        <is>
          <t>JOI-07911</t>
        </is>
      </c>
      <c r="G309" s="16" t="n">
        <v>3</v>
      </c>
      <c r="H309" s="16" t="n">
        <v>557.92</v>
      </c>
      <c r="I309" s="16" t="n">
        <v>1673.76</v>
      </c>
      <c r="J309" s="16" t="n">
        <v>1476657713.46</v>
      </c>
      <c r="K309" s="16" t="n">
        <v>3</v>
      </c>
      <c r="L309" s="16" t="n">
        <v>557.92</v>
      </c>
      <c r="M309" s="16" t="n">
        <v>1673.76</v>
      </c>
      <c r="N309" s="16" t="n">
        <v>0</v>
      </c>
      <c r="O309" s="16" t="n">
        <v>0</v>
      </c>
      <c r="P309" s="1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0" customWidth="1" min="4" max="4"/>
    <col width="20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PT 530/501 - Testes em 100% da base simulada e investigação dos itens sinalizados (R$)</t>
        </is>
      </c>
    </row>
    <row r="2">
      <c r="A2" s="2" t="inlineStr">
        <is>
          <t>SIMULADO PARA FINS DIDÁTICOS</t>
        </is>
      </c>
    </row>
    <row r="3">
      <c r="A3" s="3" t="inlineStr">
        <is>
          <t>Preparadora: Rafaela de Sousa Barbosa - matrícula 241003384 | Data: 22/10/2026 | Conteúdo produzido com IA (ver README) | Revisão: ____________ (campo não preenchido)</t>
        </is>
      </c>
    </row>
    <row r="5">
      <c r="A5" s="4" t="inlineStr">
        <is>
          <t>Teste</t>
        </is>
      </c>
      <c r="B5" s="4" t="inlineStr">
        <is>
          <t>Itens sinalizados</t>
        </is>
      </c>
      <c r="C5" s="4" t="inlineStr">
        <is>
          <t>Confirmados</t>
        </is>
      </c>
      <c r="D5" s="4" t="inlineStr">
        <is>
          <t>Distorção confirmada (R$)</t>
        </is>
      </c>
    </row>
    <row r="6">
      <c r="A6" t="inlineStr">
        <is>
          <t>T1_RECALCULO_QTDxCUSTO</t>
        </is>
      </c>
      <c r="B6" t="n">
        <v>50</v>
      </c>
      <c r="C6" t="n">
        <v>50</v>
      </c>
      <c r="D6" s="10" t="n">
        <v>553733</v>
      </c>
    </row>
    <row r="7">
      <c r="A7" t="inlineStr">
        <is>
          <t>T2_DUPLICIDADE</t>
        </is>
      </c>
      <c r="B7" t="n">
        <v>60</v>
      </c>
      <c r="C7" t="n">
        <v>60</v>
      </c>
      <c r="D7" s="10" t="n">
        <v>64523.41</v>
      </c>
    </row>
    <row r="8">
      <c r="A8" t="inlineStr">
        <is>
          <t>T3_QTD_NEGATIVA</t>
        </is>
      </c>
      <c r="B8" t="n">
        <v>30</v>
      </c>
      <c r="C8" t="n">
        <v>30</v>
      </c>
      <c r="D8" s="10" t="n">
        <v>-30760.78</v>
      </c>
    </row>
    <row r="9">
      <c r="A9" t="inlineStr">
        <is>
          <t>T4_CORTE</t>
        </is>
      </c>
      <c r="B9" t="n">
        <v>80</v>
      </c>
      <c r="C9" t="n">
        <v>80</v>
      </c>
      <c r="D9" s="10" t="n">
        <v>1471303.9</v>
      </c>
    </row>
    <row r="10">
      <c r="A10" t="inlineStr">
        <is>
          <t>T5_GIRO_LENTO_SEM_PROVISAO</t>
        </is>
      </c>
      <c r="B10" t="n">
        <v>300</v>
      </c>
      <c r="C10" t="n">
        <v>300</v>
      </c>
      <c r="D10" s="10" t="n">
        <v>514288.21</v>
      </c>
    </row>
    <row r="11">
      <c r="A11" t="inlineStr">
        <is>
          <t>T6_CUSTO_ACIMA_VRL</t>
        </is>
      </c>
      <c r="B11" t="n">
        <v>160</v>
      </c>
      <c r="C11" t="n">
        <v>160</v>
      </c>
      <c r="D11" s="10" t="n">
        <v>1737392.79</v>
      </c>
    </row>
    <row r="12">
      <c r="A12" t="inlineStr">
        <is>
          <t>T7_CUSTO_ATIPICO</t>
        </is>
      </c>
      <c r="B12" t="n">
        <v>40</v>
      </c>
      <c r="C12" t="n">
        <v>40</v>
      </c>
      <c r="D12" s="10" t="n">
        <v>1578720.06</v>
      </c>
    </row>
    <row r="13">
      <c r="A13" t="inlineStr">
        <is>
          <t>T8_CLASSIFICACAO_LOCAL</t>
        </is>
      </c>
      <c r="B13" t="n">
        <v>25</v>
      </c>
      <c r="C13" t="n">
        <v>25</v>
      </c>
      <c r="D13" s="10" t="n">
        <v>0</v>
      </c>
    </row>
    <row r="15">
      <c r="A15" s="8" t="inlineStr">
        <is>
          <t>Comparação erros inseridos x identificados</t>
        </is>
      </c>
    </row>
    <row r="16">
      <c r="A16" s="4" t="inlineStr">
        <is>
          <t>Tipo de erro</t>
        </is>
      </c>
      <c r="B16" s="4" t="inlineStr">
        <is>
          <t>Inseridos</t>
        </is>
      </c>
      <c r="C16" s="4" t="inlineStr">
        <is>
          <t>Detectados</t>
        </is>
      </c>
      <c r="D16" s="4" t="inlineStr">
        <is>
          <t>Taxa</t>
        </is>
      </c>
      <c r="E16" s="4" t="inlineStr">
        <is>
          <t>Efeito inserido (R$)</t>
        </is>
      </c>
      <c r="F16" s="4" t="inlineStr">
        <is>
          <t>Distorção quantificada (R$)</t>
        </is>
      </c>
      <c r="G16" s="4" t="inlineStr">
        <is>
          <t>Detectados 100%</t>
        </is>
      </c>
      <c r="H16" s="4" t="inlineStr">
        <is>
          <t>Detectados amostra</t>
        </is>
      </c>
    </row>
    <row r="17">
      <c r="A17" t="inlineStr">
        <is>
          <t>E1_CUSTO_UNITARIO_DIGITADO_X10</t>
        </is>
      </c>
      <c r="B17" t="n">
        <v>40</v>
      </c>
      <c r="C17" t="n">
        <v>40</v>
      </c>
      <c r="D17" s="9">
        <f>C17/B17</f>
        <v/>
      </c>
      <c r="E17" s="10" t="n">
        <v>1578720.06</v>
      </c>
      <c r="F17" s="10" t="n">
        <v>1578720.06</v>
      </c>
      <c r="G17" t="n">
        <v>40</v>
      </c>
      <c r="H17" t="n">
        <v>0</v>
      </c>
    </row>
    <row r="18">
      <c r="A18" t="inlineStr">
        <is>
          <t>E2_QTD_SEM_EXISTENCIA_FISICA</t>
        </is>
      </c>
      <c r="B18" t="n">
        <v>3000</v>
      </c>
      <c r="C18" t="n">
        <v>1</v>
      </c>
      <c r="D18" s="9">
        <f>C18/B18</f>
        <v/>
      </c>
      <c r="E18" s="10" t="n">
        <v>3663777.5</v>
      </c>
      <c r="F18" s="10" t="n">
        <v>1021.24</v>
      </c>
      <c r="G18" t="n">
        <v>0</v>
      </c>
      <c r="H18" t="n">
        <v>1</v>
      </c>
    </row>
    <row r="19">
      <c r="A19" t="inlineStr">
        <is>
          <t>E3_OBSOLETO_SEM_PROVISAO</t>
        </is>
      </c>
      <c r="B19" t="n">
        <v>300</v>
      </c>
      <c r="C19" t="n">
        <v>300</v>
      </c>
      <c r="D19" s="9">
        <f>C19/B19</f>
        <v/>
      </c>
      <c r="E19" s="10" t="n">
        <v>514288.21</v>
      </c>
      <c r="F19" s="10" t="n">
        <v>514288.21</v>
      </c>
      <c r="G19" t="n">
        <v>300</v>
      </c>
      <c r="H19" t="n">
        <v>0</v>
      </c>
    </row>
    <row r="20">
      <c r="A20" t="inlineStr">
        <is>
          <t>E4_REGISTRO_DUPLICADO</t>
        </is>
      </c>
      <c r="B20" t="n">
        <v>60</v>
      </c>
      <c r="C20" t="n">
        <v>60</v>
      </c>
      <c r="D20" s="9">
        <f>C20/B20</f>
        <v/>
      </c>
      <c r="E20" s="10" t="n">
        <v>64523.41</v>
      </c>
      <c r="F20" s="10" t="n">
        <v>64523.41</v>
      </c>
      <c r="G20" t="n">
        <v>60</v>
      </c>
      <c r="H20" t="n">
        <v>0</v>
      </c>
    </row>
    <row r="21">
      <c r="A21" t="inlineStr">
        <is>
          <t>E5_CORTE_ENTRADA_POSTERIOR_A_DATA_BASE</t>
        </is>
      </c>
      <c r="B21" t="n">
        <v>80</v>
      </c>
      <c r="C21" t="n">
        <v>80</v>
      </c>
      <c r="D21" s="9">
        <f>C21/B21</f>
        <v/>
      </c>
      <c r="E21" s="10" t="n">
        <v>1471303.9</v>
      </c>
      <c r="F21" s="10" t="n">
        <v>1471303.9</v>
      </c>
      <c r="G21" t="n">
        <v>80</v>
      </c>
      <c r="H21" t="n">
        <v>1</v>
      </c>
    </row>
    <row r="22">
      <c r="A22" t="inlineStr">
        <is>
          <t>E6_CUSTO_ACIMA_DO_VRL_SEM_PROVISAO</t>
        </is>
      </c>
      <c r="B22" t="n">
        <v>120</v>
      </c>
      <c r="C22" t="n">
        <v>120</v>
      </c>
      <c r="D22" s="9">
        <f>C22/B22</f>
        <v/>
      </c>
      <c r="E22" s="10" t="n">
        <v>158672.81</v>
      </c>
      <c r="F22" s="10" t="n">
        <v>158672.73</v>
      </c>
      <c r="G22" t="n">
        <v>120</v>
      </c>
      <c r="H22" t="n">
        <v>0</v>
      </c>
    </row>
    <row r="23">
      <c r="A23" t="inlineStr">
        <is>
          <t>E7_VALOR_DIFERENTE_DE_QTDxCUSTO</t>
        </is>
      </c>
      <c r="B23" t="n">
        <v>50</v>
      </c>
      <c r="C23" t="n">
        <v>50</v>
      </c>
      <c r="D23" s="9">
        <f>C23/B23</f>
        <v/>
      </c>
      <c r="E23" s="10" t="n">
        <v>553733</v>
      </c>
      <c r="F23" s="10" t="n">
        <v>553733</v>
      </c>
      <c r="G23" t="n">
        <v>50</v>
      </c>
      <c r="H23" t="n">
        <v>0</v>
      </c>
    </row>
    <row r="24">
      <c r="A24" t="inlineStr">
        <is>
          <t>E8_QUANTIDADE_NEGATIVA</t>
        </is>
      </c>
      <c r="B24" t="n">
        <v>30</v>
      </c>
      <c r="C24" t="n">
        <v>30</v>
      </c>
      <c r="D24" s="9">
        <f>C24/B24</f>
        <v/>
      </c>
      <c r="E24" s="10" t="n">
        <v>-30760.78</v>
      </c>
      <c r="F24" s="10" t="n">
        <v>-30760.78</v>
      </c>
      <c r="G24" t="n">
        <v>30</v>
      </c>
      <c r="H24" t="n">
        <v>0</v>
      </c>
    </row>
    <row r="25">
      <c r="A25" t="inlineStr">
        <is>
          <t>E9_CLASSIFICACAO_LOCAL_INCOMPATIVEL</t>
        </is>
      </c>
      <c r="B25" t="n">
        <v>25</v>
      </c>
      <c r="C25" t="n">
        <v>25</v>
      </c>
      <c r="D25" s="9">
        <f>C25/B25</f>
        <v/>
      </c>
      <c r="E25" s="10" t="n">
        <v>0</v>
      </c>
      <c r="F25" s="10" t="n">
        <v>0</v>
      </c>
      <c r="G25" t="n">
        <v>25</v>
      </c>
      <c r="H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70" customWidth="1" min="3" max="3"/>
    <col width="26" customWidth="1" min="4" max="4"/>
    <col width="26" customWidth="1" min="5" max="5"/>
    <col width="14" customWidth="1" min="6" max="6"/>
    <col width="12" customWidth="1" min="7" max="7"/>
    <col width="50" customWidth="1" min="8" max="8"/>
  </cols>
  <sheetData>
    <row r="1">
      <c r="A1" s="1" t="inlineStr">
        <is>
          <t>PT 450 - Mapa de distorções (R$ mil)</t>
        </is>
      </c>
    </row>
    <row r="2">
      <c r="A2" s="2" t="inlineStr">
        <is>
          <t>NBC TA 450 (R1) itens 5-12 | Público = evidência pública | Simulado = base sintética</t>
        </is>
      </c>
    </row>
    <row r="3">
      <c r="A3" s="3" t="inlineStr">
        <is>
          <t>Preparadora: Rafaela de Sousa Barbosa - matrícula 241003384 | Data: 22/10/2026 | Conteúdo produzido com IA (ver README) | Revisão: ____________ (campo não preenchido)</t>
        </is>
      </c>
    </row>
    <row r="5">
      <c r="A5" t="inlineStr">
        <is>
          <t>MG</t>
        </is>
      </c>
      <c r="B5" s="5" t="n">
        <v>29000</v>
      </c>
    </row>
    <row r="6">
      <c r="A6" t="inlineStr">
        <is>
          <t>ME</t>
        </is>
      </c>
      <c r="B6" s="5" t="n">
        <v>17400</v>
      </c>
    </row>
    <row r="7">
      <c r="A7" t="inlineStr">
        <is>
          <t>Limite trivial</t>
        </is>
      </c>
      <c r="B7" s="5" t="n">
        <v>1450</v>
      </c>
    </row>
    <row r="9">
      <c r="A9" s="4" t="inlineStr">
        <is>
          <t>Código</t>
        </is>
      </c>
      <c r="B9" s="4" t="inlineStr">
        <is>
          <t>Origem</t>
        </is>
      </c>
      <c r="C9" s="4" t="inlineStr">
        <is>
          <t>Descrição</t>
        </is>
      </c>
      <c r="D9" s="4" t="inlineStr">
        <is>
          <t>Fonte</t>
        </is>
      </c>
      <c r="E9" s="4" t="inlineStr">
        <is>
          <t>Natureza</t>
        </is>
      </c>
      <c r="F9" s="4" t="inlineStr">
        <is>
          <t>Valor (R$ mil)</t>
        </is>
      </c>
      <c r="G9" s="4" t="inlineStr">
        <is>
          <t>Afeta DF 2025?</t>
        </is>
      </c>
      <c r="H9" s="4" t="inlineStr">
        <is>
          <t>Tratamento</t>
        </is>
      </c>
    </row>
    <row r="10">
      <c r="A10" s="17" t="inlineStr">
        <is>
          <t>D01</t>
        </is>
      </c>
      <c r="B10" s="17" t="inlineStr">
        <is>
          <t>Público</t>
        </is>
      </c>
      <c r="C10" s="17" t="inlineStr">
        <is>
          <t>Nota 31 data o aumento de capital de R$ 866.644 mil em '15 de dezembro de 2015'; a nota 18.1 informa deliberação do Conselho em 15/12/2025</t>
        </is>
      </c>
      <c r="D10" s="17" t="inlineStr">
        <is>
          <t>DF25 p.68 x p.45</t>
        </is>
      </c>
      <c r="E10" s="17" t="inlineStr">
        <is>
          <t>Divulgação (exatidão)</t>
        </is>
      </c>
      <c r="F10" s="18" t="n">
        <v>0</v>
      </c>
      <c r="G10" s="17" t="inlineStr">
        <is>
          <t>Sim</t>
        </is>
      </c>
      <c r="H10" s="17" t="inlineStr">
        <is>
          <t>Não corrigida (DF já emitidas). Qualitativamente irrelevante para decisões; comunicar à governança (PT 260)</t>
        </is>
      </c>
    </row>
    <row r="11">
      <c r="A11" s="17" t="inlineStr">
        <is>
          <t>D02</t>
        </is>
      </c>
      <c r="B11" s="17" t="inlineStr">
        <is>
          <t>Público</t>
        </is>
      </c>
      <c r="C11" s="17" t="inlineStr">
        <is>
          <t>Nota 31 remete à 'Nota Explicativa nº 15.3' para juros e encargos; a 15.3 trata de covenants e a movimentação está na 15.5</t>
        </is>
      </c>
      <c r="D11" s="17" t="inlineStr">
        <is>
          <t>DF25 p.68 x p.41</t>
        </is>
      </c>
      <c r="E11" s="17" t="inlineStr">
        <is>
          <t>Divulgação (referência cruzada)</t>
        </is>
      </c>
      <c r="F11" s="18" t="n">
        <v>0</v>
      </c>
      <c r="G11" s="17" t="inlineStr">
        <is>
          <t>Sim</t>
        </is>
      </c>
      <c r="H11" s="17" t="inlineStr">
        <is>
          <t>Não corrigida; irrelevante; comunicar</t>
        </is>
      </c>
    </row>
    <row r="12">
      <c r="A12" s="17" t="inlineStr">
        <is>
          <t>D03</t>
        </is>
      </c>
      <c r="B12" s="17" t="inlineStr">
        <is>
          <t>Público</t>
        </is>
      </c>
      <c r="C12" s="17" t="inlineStr">
        <is>
          <t>Sumário das DF anuais refere-se a 'informações financeiras intermediárias' e a 'relatório sobre informações financeiras intermediárias'</t>
        </is>
      </c>
      <c r="D12" s="17" t="inlineStr">
        <is>
          <t>DF25 p.2</t>
        </is>
      </c>
      <c r="E12" s="17" t="inlineStr">
        <is>
          <t>Apresentação (título)</t>
        </is>
      </c>
      <c r="F12" s="18" t="n">
        <v>0</v>
      </c>
      <c r="G12" s="17" t="inlineStr">
        <is>
          <t>Sim</t>
        </is>
      </c>
      <c r="H12" s="17" t="inlineStr">
        <is>
          <t>Não corrigida; o relatório do auditor (p.15) e as demonstrações identificam o exercício corretamente</t>
        </is>
      </c>
    </row>
    <row r="13">
      <c r="A13" s="17" t="inlineStr">
        <is>
          <t>D04</t>
        </is>
      </c>
      <c r="B13" s="17" t="inlineStr">
        <is>
          <t>Público</t>
        </is>
      </c>
      <c r="C13" s="17" t="inlineStr">
        <is>
          <t>Nota 9.2: 'Total do passivo e PL' das controladas não iguala o 'Total do ativo'; a diferença é igual ao resultado do exercício de cada controlada (Tellerina 67.090; Conipa 874.926; Panamá 1.484) - 2025 e 2024</t>
        </is>
      </c>
      <c r="D13" s="17" t="inlineStr">
        <is>
          <t>DF25 p.32</t>
        </is>
      </c>
      <c r="E13" s="17" t="inlineStr">
        <is>
          <t>Divulgação (somatório)</t>
        </is>
      </c>
      <c r="F13" s="18" t="n">
        <v>0</v>
      </c>
      <c r="G13" s="17" t="inlineStr">
        <is>
          <t>Sim</t>
        </is>
      </c>
      <c r="H13" s="17" t="inlineStr">
        <is>
          <t>Não corrigida; não afeta saldos consolidados nem a equivalência (nota 9.3/9.4 concilia); comunicar</t>
        </is>
      </c>
    </row>
    <row r="14">
      <c r="A14" s="17" t="inlineStr">
        <is>
          <t>D05</t>
        </is>
      </c>
      <c r="B14" s="17" t="inlineStr">
        <is>
          <t>Público</t>
        </is>
      </c>
      <c r="C14" s="17" t="inlineStr">
        <is>
          <t>Base de IR diferido 'provisão para perdas dos estoques' 2024 = 5.401 (nota 20.9) x saldo da provisão em 31/12/2024 = 5.217 (nota 7.3)</t>
        </is>
      </c>
      <c r="D14" s="17" t="inlineStr">
        <is>
          <t>DF25 p.52 x p.31</t>
        </is>
      </c>
      <c r="E14" s="17" t="inlineStr">
        <is>
          <t>Divulgação/mensuração (comparativo)</t>
        </is>
      </c>
      <c r="F14" s="18" t="n">
        <v>184</v>
      </c>
      <c r="G14" s="17" t="inlineStr">
        <is>
          <t>Sim</t>
        </is>
      </c>
      <c r="H14" s="17" t="inlineStr">
        <is>
          <t>Diferença de 184 x alíquota 34% = 63 de IR diferido; claramente trivial (&lt; 1.450)</t>
        </is>
      </c>
    </row>
    <row r="15">
      <c r="A15" s="17" t="inlineStr">
        <is>
          <t>D06</t>
        </is>
      </c>
      <c r="B15" s="17" t="inlineStr">
        <is>
          <t>Público</t>
        </is>
      </c>
      <c r="C15" s="17" t="inlineStr">
        <is>
          <t>Nota 29.3: comparativo 2024 de 'Fornecedores e outras contas a pagar' = 93.654 (só fornecedores) x BP 2024 = 158.736; dividendos a pagar consolidados 2025 apresentados como '-' x BP = 10</t>
        </is>
      </c>
      <c r="D15" s="17" t="inlineStr">
        <is>
          <t>DF25 p.63 x p.19</t>
        </is>
      </c>
      <c r="E15" s="17" t="inlineStr">
        <is>
          <t>Divulgação (consistência de comparativos)</t>
        </is>
      </c>
      <c r="F15" s="18" t="n">
        <v>65082</v>
      </c>
      <c r="G15" s="17" t="inlineStr">
        <is>
          <t>Sim</t>
        </is>
      </c>
      <c r="H15" s="17" t="inlineStr">
        <is>
          <t>Classificação dentro da nota de instrumentos financeiros; não afeta o BP; qualitativamente irrelevante</t>
        </is>
      </c>
    </row>
    <row r="16">
      <c r="A16" s="17" t="inlineStr">
        <is>
          <t>D07</t>
        </is>
      </c>
      <c r="B16" s="17" t="inlineStr">
        <is>
          <t>Público</t>
        </is>
      </c>
      <c r="C16" s="17" t="inlineStr">
        <is>
          <t>Nota 20.8: IR/CS diferidos de 139.324 x DRE 139.322 (diferença 2)</t>
        </is>
      </c>
      <c r="D16" s="17" t="inlineStr">
        <is>
          <t>DF25 p.51 x p.20</t>
        </is>
      </c>
      <c r="E16" s="17" t="inlineStr">
        <is>
          <t>Arredondamento</t>
        </is>
      </c>
      <c r="F16" s="18" t="n">
        <v>2</v>
      </c>
      <c r="G16" s="17" t="inlineStr">
        <is>
          <t>Sim</t>
        </is>
      </c>
      <c r="H16" s="17" t="inlineStr">
        <is>
          <t>Trivial</t>
        </is>
      </c>
    </row>
    <row r="17">
      <c r="A17" s="17" t="inlineStr">
        <is>
          <t>D08</t>
        </is>
      </c>
      <c r="B17" s="17" t="inlineStr">
        <is>
          <t>Público</t>
        </is>
      </c>
      <c r="C17" s="17" t="inlineStr">
        <is>
          <t>Nota 22 (despesas por natureza): depreciação e amortização no resultado = 152.836 x DFC/notas 10.6 e 11.2 = 162.855 (diferença 10.019)</t>
        </is>
      </c>
      <c r="D17" s="17" t="inlineStr">
        <is>
          <t>DF25 p.53-54 x p.23, p.36-37</t>
        </is>
      </c>
      <c r="E17" s="17" t="inlineStr">
        <is>
          <t>Item de reconciliação (a explicar)</t>
        </is>
      </c>
      <c r="F17" s="18" t="n">
        <v>10019</v>
      </c>
      <c r="G17" s="17" t="inlineStr">
        <is>
          <t>Sim</t>
        </is>
      </c>
      <c r="H17" s="17" t="inlineStr">
        <is>
          <t>Hipótese: parcela de depreciação incorporada ao custo dos estoques (GGF). Confirmar com a administração (planejado)</t>
        </is>
      </c>
    </row>
    <row r="18">
      <c r="A18" t="inlineStr">
        <is>
          <t>S-T1</t>
        </is>
      </c>
      <c r="B18" t="inlineStr">
        <is>
          <t>Simulado</t>
        </is>
      </c>
      <c r="C18" t="inlineStr">
        <is>
          <t>Distorção factual - itens cujo teste principal foi T1_RECALCULO_QTDxCUSTO (50 itens; base sintética)</t>
        </is>
      </c>
      <c r="D18" t="inlineStr">
        <is>
          <t>PT530_Testes100</t>
        </is>
      </c>
      <c r="E18" t="inlineStr">
        <is>
          <t>Factual (simulada)</t>
        </is>
      </c>
      <c r="F18" s="19" t="n">
        <v>553.7</v>
      </c>
      <c r="G18" t="inlineStr">
        <is>
          <t>Simulação</t>
        </is>
      </c>
      <c r="H18" t="inlineStr">
        <is>
          <t>Não corrigida (cenário didático) - acumulada</t>
        </is>
      </c>
    </row>
    <row r="19">
      <c r="A19" t="inlineStr">
        <is>
          <t>S-T2</t>
        </is>
      </c>
      <c r="B19" t="inlineStr">
        <is>
          <t>Simulado</t>
        </is>
      </c>
      <c r="C19" t="inlineStr">
        <is>
          <t>Distorção factual - itens cujo teste principal foi T2_DUPLICIDADE (60 itens; base sintética)</t>
        </is>
      </c>
      <c r="D19" t="inlineStr">
        <is>
          <t>PT530_Testes100</t>
        </is>
      </c>
      <c r="E19" t="inlineStr">
        <is>
          <t>Factual (simulada)</t>
        </is>
      </c>
      <c r="F19" s="19" t="n">
        <v>64.5</v>
      </c>
      <c r="G19" t="inlineStr">
        <is>
          <t>Simulação</t>
        </is>
      </c>
      <c r="H19" t="inlineStr">
        <is>
          <t>Não corrigida (cenário didático) - acumulada</t>
        </is>
      </c>
    </row>
    <row r="20">
      <c r="A20" t="inlineStr">
        <is>
          <t>S-T3</t>
        </is>
      </c>
      <c r="B20" t="inlineStr">
        <is>
          <t>Simulado</t>
        </is>
      </c>
      <c r="C20" t="inlineStr">
        <is>
          <t>Distorção factual - itens cujo teste principal foi T3_QTD_NEGATIVA (30 itens; base sintética)</t>
        </is>
      </c>
      <c r="D20" t="inlineStr">
        <is>
          <t>PT530_Testes100</t>
        </is>
      </c>
      <c r="E20" t="inlineStr">
        <is>
          <t>Factual (simulada)</t>
        </is>
      </c>
      <c r="F20" s="19" t="n">
        <v>-30.8</v>
      </c>
      <c r="G20" t="inlineStr">
        <is>
          <t>Simulação</t>
        </is>
      </c>
      <c r="H20" t="inlineStr">
        <is>
          <t>Não corrigida (cenário didático) - acumulada</t>
        </is>
      </c>
    </row>
    <row r="21">
      <c r="A21" t="inlineStr">
        <is>
          <t>S-T4</t>
        </is>
      </c>
      <c r="B21" t="inlineStr">
        <is>
          <t>Simulado</t>
        </is>
      </c>
      <c r="C21" t="inlineStr">
        <is>
          <t>Distorção factual - itens cujo teste principal foi T4_CORTE (80 itens; base sintética)</t>
        </is>
      </c>
      <c r="D21" t="inlineStr">
        <is>
          <t>PT530_Testes100</t>
        </is>
      </c>
      <c r="E21" t="inlineStr">
        <is>
          <t>Factual (simulada)</t>
        </is>
      </c>
      <c r="F21" s="19" t="n">
        <v>1471.3</v>
      </c>
      <c r="G21" t="inlineStr">
        <is>
          <t>Simulação</t>
        </is>
      </c>
      <c r="H21" t="inlineStr">
        <is>
          <t>Não corrigida (cenário didático) - acumulada</t>
        </is>
      </c>
    </row>
    <row r="22">
      <c r="A22" t="inlineStr">
        <is>
          <t>S-T5</t>
        </is>
      </c>
      <c r="B22" t="inlineStr">
        <is>
          <t>Simulado</t>
        </is>
      </c>
      <c r="C22" t="inlineStr">
        <is>
          <t>Distorção factual - itens cujo teste principal foi T5_GIRO_LENTO_SEM_PROVISAO (300 itens; base sintética)</t>
        </is>
      </c>
      <c r="D22" t="inlineStr">
        <is>
          <t>PT530_Testes100</t>
        </is>
      </c>
      <c r="E22" t="inlineStr">
        <is>
          <t>Factual (simulada)</t>
        </is>
      </c>
      <c r="F22" s="19" t="n">
        <v>514.3</v>
      </c>
      <c r="G22" t="inlineStr">
        <is>
          <t>Simulação</t>
        </is>
      </c>
      <c r="H22" t="inlineStr">
        <is>
          <t>Não corrigida (cenário didático) - acumulada</t>
        </is>
      </c>
    </row>
    <row r="23">
      <c r="A23" t="inlineStr">
        <is>
          <t>S-T6</t>
        </is>
      </c>
      <c r="B23" t="inlineStr">
        <is>
          <t>Simulado</t>
        </is>
      </c>
      <c r="C23" t="inlineStr">
        <is>
          <t>Distorção factual - itens cujo teste principal foi T6_CUSTO_ACIMA_VRL (120 itens; base sintética)</t>
        </is>
      </c>
      <c r="D23" t="inlineStr">
        <is>
          <t>PT530_Testes100</t>
        </is>
      </c>
      <c r="E23" t="inlineStr">
        <is>
          <t>Factual (simulada)</t>
        </is>
      </c>
      <c r="F23" s="19" t="n">
        <v>158.7</v>
      </c>
      <c r="G23" t="inlineStr">
        <is>
          <t>Simulação</t>
        </is>
      </c>
      <c r="H23" t="inlineStr">
        <is>
          <t>Não corrigida (cenário didático) - acumulada</t>
        </is>
      </c>
    </row>
    <row r="24">
      <c r="A24" t="inlineStr">
        <is>
          <t>S-T7</t>
        </is>
      </c>
      <c r="B24" t="inlineStr">
        <is>
          <t>Simulado</t>
        </is>
      </c>
      <c r="C24" t="inlineStr">
        <is>
          <t>Distorção factual - itens cujo teste principal foi T7_CUSTO_ATIPICO (40 itens; base sintética)</t>
        </is>
      </c>
      <c r="D24" t="inlineStr">
        <is>
          <t>PT530_Testes100</t>
        </is>
      </c>
      <c r="E24" t="inlineStr">
        <is>
          <t>Factual (simulada)</t>
        </is>
      </c>
      <c r="F24" s="19" t="n">
        <v>1578.7</v>
      </c>
      <c r="G24" t="inlineStr">
        <is>
          <t>Simulação</t>
        </is>
      </c>
      <c r="H24" t="inlineStr">
        <is>
          <t>Não corrigida (cenário didático) - acumulada</t>
        </is>
      </c>
    </row>
    <row r="25">
      <c r="A25" t="inlineStr">
        <is>
          <t>S-T8</t>
        </is>
      </c>
      <c r="B25" t="inlineStr">
        <is>
          <t>Simulado</t>
        </is>
      </c>
      <c r="C25" t="inlineStr">
        <is>
          <t>Distorção factual - itens cujo teste principal foi T8_CLASSIFICACAO_LOCAL (25 itens; base sintética)</t>
        </is>
      </c>
      <c r="D25" t="inlineStr">
        <is>
          <t>PT530_Testes100</t>
        </is>
      </c>
      <c r="E25" t="inlineStr">
        <is>
          <t>Factual (simulada)</t>
        </is>
      </c>
      <c r="F25" s="19" t="n">
        <v>0</v>
      </c>
      <c r="G25" t="inlineStr">
        <is>
          <t>Simulação</t>
        </is>
      </c>
      <c r="H25" t="inlineStr">
        <is>
          <t>Não corrigida (cenário didático) - acumulada</t>
        </is>
      </c>
    </row>
    <row r="26">
      <c r="A26" t="inlineStr">
        <is>
          <t>S-PJ</t>
        </is>
      </c>
      <c r="B26" t="inlineStr">
        <is>
          <t>Simulado</t>
        </is>
      </c>
      <c r="C26" t="inlineStr">
        <is>
          <t>Distorção projetada - MUS (erros de contagem não detectáveis por análise de dados)</t>
        </is>
      </c>
      <c r="D26" t="inlineStr">
        <is>
          <t>PT530_MUS</t>
        </is>
      </c>
      <c r="E26" t="inlineStr">
        <is>
          <t>Projetada (simulada)</t>
        </is>
      </c>
      <c r="F26" s="19" t="n">
        <v>810.8</v>
      </c>
      <c r="G26" t="inlineStr">
        <is>
          <t>Simulação</t>
        </is>
      </c>
      <c r="H26" t="inlineStr">
        <is>
          <t>Acumulada</t>
        </is>
      </c>
    </row>
    <row r="28">
      <c r="C28" s="8" t="inlineStr">
        <is>
          <t>Total de distorções simuladas não corrigidas (factuais + projetadas)</t>
        </is>
      </c>
      <c r="F28" s="19">
        <f>SUM(F18:F26)</f>
        <v/>
      </c>
    </row>
    <row r="29">
      <c r="C29" t="inlineStr">
        <is>
          <t>% da materialidade global</t>
        </is>
      </c>
      <c r="F29" s="9">
        <f>F28/B5</f>
        <v/>
      </c>
    </row>
    <row r="30">
      <c r="C30" t="inlineStr">
        <is>
          <t>% da materialidade para execução</t>
        </is>
      </c>
      <c r="F30" s="9">
        <f>F28/B6</f>
        <v/>
      </c>
    </row>
    <row r="31">
      <c r="C31" t="inlineStr">
        <is>
          <t>Distorções factuais + UML da amostra (risco de amostragem incluído)</t>
        </is>
      </c>
      <c r="F31" s="19" t="n">
        <v>20324.4</v>
      </c>
    </row>
    <row r="32">
      <c r="C32" t="inlineStr">
        <is>
          <t>Efeito total dos erros INSERIDOS (gabarito, R$ mil)</t>
        </is>
      </c>
      <c r="F32" s="19" t="n">
        <v>7974.3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PT 540 - Sensibilidade do passivo de arrendamento à taxa de desconto (R$ mil)</t>
        </is>
      </c>
    </row>
    <row r="2">
      <c r="A2" s="2" t="inlineStr">
        <is>
          <t>NBC TA 540 (R2) itens 13, 18, 25-26 | Realizado com evidência pública (modelo simplificado)</t>
        </is>
      </c>
    </row>
    <row r="3">
      <c r="A3" s="3" t="inlineStr">
        <is>
          <t>Preparadora: Rafaela de Sousa Barbosa - matrícula 241003384 | Data: 22/10/2026 | Conteúdo produzido com IA (ver README) | Revisão: ____________ (campo não preenchido)</t>
        </is>
      </c>
    </row>
    <row r="5">
      <c r="A5" t="inlineStr">
        <is>
          <t>Taxas para teste</t>
        </is>
      </c>
      <c r="D5" s="6" t="n">
        <v>0.1092</v>
      </c>
      <c r="E5" s="6" t="n">
        <v>0.1192</v>
      </c>
      <c r="F5" s="6" t="n">
        <v>0.1292</v>
      </c>
      <c r="G5" s="6" t="n">
        <v>0.1392</v>
      </c>
      <c r="H5" s="6" t="n">
        <v>0.1492</v>
      </c>
    </row>
    <row r="6">
      <c r="A6" s="4" t="inlineStr">
        <is>
          <t>Faixa</t>
        </is>
      </c>
      <c r="B6" s="4" t="inlineStr">
        <is>
          <t>Tempo (anos)</t>
        </is>
      </c>
      <c r="C6" s="4" t="inlineStr">
        <is>
          <t>Fluxo não descontado</t>
        </is>
      </c>
      <c r="D6" s="4" t="inlineStr">
        <is>
          <t>VP @ 10.92%</t>
        </is>
      </c>
      <c r="E6" s="4" t="inlineStr">
        <is>
          <t>VP @ 11.92%</t>
        </is>
      </c>
      <c r="F6" s="4" t="inlineStr">
        <is>
          <t>VP @ 12.92%</t>
        </is>
      </c>
      <c r="G6" s="4" t="inlineStr">
        <is>
          <t>VP @ 13.92%</t>
        </is>
      </c>
      <c r="H6" s="4" t="inlineStr">
        <is>
          <t>VP @ 14.92%</t>
        </is>
      </c>
    </row>
    <row r="7">
      <c r="A7" t="inlineStr">
        <is>
          <t>Até 1 ano</t>
        </is>
      </c>
      <c r="B7" t="n">
        <v>0.5</v>
      </c>
      <c r="C7" s="5" t="n">
        <v>139829</v>
      </c>
      <c r="D7" s="7">
        <f>$C7/(1+D$5)^$B7</f>
        <v/>
      </c>
      <c r="E7" s="7">
        <f>$C7/(1+E$5)^$B7</f>
        <v/>
      </c>
      <c r="F7" s="7">
        <f>$C7/(1+F$5)^$B7</f>
        <v/>
      </c>
      <c r="G7" s="7">
        <f>$C7/(1+G$5)^$B7</f>
        <v/>
      </c>
      <c r="H7" s="7">
        <f>$C7/(1+H$5)^$B7</f>
        <v/>
      </c>
    </row>
    <row r="8">
      <c r="A8" t="inlineStr">
        <is>
          <t>1 a 2 anos</t>
        </is>
      </c>
      <c r="B8" t="n">
        <v>1.5</v>
      </c>
      <c r="C8" s="5" t="n">
        <v>139666</v>
      </c>
      <c r="D8" s="7">
        <f>$C8/(1+D$5)^$B8</f>
        <v/>
      </c>
      <c r="E8" s="7">
        <f>$C8/(1+E$5)^$B8</f>
        <v/>
      </c>
      <c r="F8" s="7">
        <f>$C8/(1+F$5)^$B8</f>
        <v/>
      </c>
      <c r="G8" s="7">
        <f>$C8/(1+G$5)^$B8</f>
        <v/>
      </c>
      <c r="H8" s="7">
        <f>$C8/(1+H$5)^$B8</f>
        <v/>
      </c>
    </row>
    <row r="9">
      <c r="A9" t="inlineStr">
        <is>
          <t>2 a 3 anos</t>
        </is>
      </c>
      <c r="B9" t="n">
        <v>2.5</v>
      </c>
      <c r="C9" s="5" t="n">
        <v>139350</v>
      </c>
      <c r="D9" s="7">
        <f>$C9/(1+D$5)^$B9</f>
        <v/>
      </c>
      <c r="E9" s="7">
        <f>$C9/(1+E$5)^$B9</f>
        <v/>
      </c>
      <c r="F9" s="7">
        <f>$C9/(1+F$5)^$B9</f>
        <v/>
      </c>
      <c r="G9" s="7">
        <f>$C9/(1+G$5)^$B9</f>
        <v/>
      </c>
      <c r="H9" s="7">
        <f>$C9/(1+H$5)^$B9</f>
        <v/>
      </c>
    </row>
    <row r="10">
      <c r="A10" t="inlineStr">
        <is>
          <t>3 a 5 anos (1/2)</t>
        </is>
      </c>
      <c r="B10" t="n">
        <v>3.5</v>
      </c>
      <c r="C10" s="5" t="n">
        <v>136758.5</v>
      </c>
      <c r="D10" s="7">
        <f>$C10/(1+D$5)^$B10</f>
        <v/>
      </c>
      <c r="E10" s="7">
        <f>$C10/(1+E$5)^$B10</f>
        <v/>
      </c>
      <c r="F10" s="7">
        <f>$C10/(1+F$5)^$B10</f>
        <v/>
      </c>
      <c r="G10" s="7">
        <f>$C10/(1+G$5)^$B10</f>
        <v/>
      </c>
      <c r="H10" s="7">
        <f>$C10/(1+H$5)^$B10</f>
        <v/>
      </c>
    </row>
    <row r="11">
      <c r="A11" t="inlineStr">
        <is>
          <t>3 a 5 anos (2/2)</t>
        </is>
      </c>
      <c r="B11" t="n">
        <v>4.5</v>
      </c>
      <c r="C11" s="5" t="n">
        <v>136758.5</v>
      </c>
      <c r="D11" s="7">
        <f>$C11/(1+D$5)^$B11</f>
        <v/>
      </c>
      <c r="E11" s="7">
        <f>$C11/(1+E$5)^$B11</f>
        <v/>
      </c>
      <c r="F11" s="7">
        <f>$C11/(1+F$5)^$B11</f>
        <v/>
      </c>
      <c r="G11" s="7">
        <f>$C11/(1+G$5)^$B11</f>
        <v/>
      </c>
      <c r="H11" s="7">
        <f>$C11/(1+H$5)^$B11</f>
        <v/>
      </c>
    </row>
    <row r="12">
      <c r="A12" t="inlineStr">
        <is>
          <t>&gt; 5 anos (1/5)</t>
        </is>
      </c>
      <c r="B12" t="n">
        <v>5.5</v>
      </c>
      <c r="C12" s="5" t="n">
        <v>72068.39999999999</v>
      </c>
      <c r="D12" s="7">
        <f>$C12/(1+D$5)^$B12</f>
        <v/>
      </c>
      <c r="E12" s="7">
        <f>$C12/(1+E$5)^$B12</f>
        <v/>
      </c>
      <c r="F12" s="7">
        <f>$C12/(1+F$5)^$B12</f>
        <v/>
      </c>
      <c r="G12" s="7">
        <f>$C12/(1+G$5)^$B12</f>
        <v/>
      </c>
      <c r="H12" s="7">
        <f>$C12/(1+H$5)^$B12</f>
        <v/>
      </c>
    </row>
    <row r="13">
      <c r="A13" t="inlineStr">
        <is>
          <t>&gt; 5 anos (2/5)</t>
        </is>
      </c>
      <c r="B13" t="n">
        <v>6.5</v>
      </c>
      <c r="C13" s="5" t="n">
        <v>72068.39999999999</v>
      </c>
      <c r="D13" s="7">
        <f>$C13/(1+D$5)^$B13</f>
        <v/>
      </c>
      <c r="E13" s="7">
        <f>$C13/(1+E$5)^$B13</f>
        <v/>
      </c>
      <c r="F13" s="7">
        <f>$C13/(1+F$5)^$B13</f>
        <v/>
      </c>
      <c r="G13" s="7">
        <f>$C13/(1+G$5)^$B13</f>
        <v/>
      </c>
      <c r="H13" s="7">
        <f>$C13/(1+H$5)^$B13</f>
        <v/>
      </c>
    </row>
    <row r="14">
      <c r="A14" t="inlineStr">
        <is>
          <t>&gt; 5 anos (3/5)</t>
        </is>
      </c>
      <c r="B14" t="n">
        <v>7.5</v>
      </c>
      <c r="C14" s="5" t="n">
        <v>72068.39999999999</v>
      </c>
      <c r="D14" s="7">
        <f>$C14/(1+D$5)^$B14</f>
        <v/>
      </c>
      <c r="E14" s="7">
        <f>$C14/(1+E$5)^$B14</f>
        <v/>
      </c>
      <c r="F14" s="7">
        <f>$C14/(1+F$5)^$B14</f>
        <v/>
      </c>
      <c r="G14" s="7">
        <f>$C14/(1+G$5)^$B14</f>
        <v/>
      </c>
      <c r="H14" s="7">
        <f>$C14/(1+H$5)^$B14</f>
        <v/>
      </c>
    </row>
    <row r="15">
      <c r="A15" t="inlineStr">
        <is>
          <t>&gt; 5 anos (4/5)</t>
        </is>
      </c>
      <c r="B15" t="n">
        <v>8.5</v>
      </c>
      <c r="C15" s="5" t="n">
        <v>72068.39999999999</v>
      </c>
      <c r="D15" s="7">
        <f>$C15/(1+D$5)^$B15</f>
        <v/>
      </c>
      <c r="E15" s="7">
        <f>$C15/(1+E$5)^$B15</f>
        <v/>
      </c>
      <c r="F15" s="7">
        <f>$C15/(1+F$5)^$B15</f>
        <v/>
      </c>
      <c r="G15" s="7">
        <f>$C15/(1+G$5)^$B15</f>
        <v/>
      </c>
      <c r="H15" s="7">
        <f>$C15/(1+H$5)^$B15</f>
        <v/>
      </c>
    </row>
    <row r="16">
      <c r="A16" t="inlineStr">
        <is>
          <t>&gt; 5 anos (5/5)</t>
        </is>
      </c>
      <c r="B16" t="n">
        <v>9.5</v>
      </c>
      <c r="C16" s="5" t="n">
        <v>72068.39999999999</v>
      </c>
      <c r="D16" s="7">
        <f>$C16/(1+D$5)^$B16</f>
        <v/>
      </c>
      <c r="E16" s="7">
        <f>$C16/(1+E$5)^$B16</f>
        <v/>
      </c>
      <c r="F16" s="7">
        <f>$C16/(1+F$5)^$B16</f>
        <v/>
      </c>
      <c r="G16" s="7">
        <f>$C16/(1+G$5)^$B16</f>
        <v/>
      </c>
      <c r="H16" s="7">
        <f>$C16/(1+H$5)^$B16</f>
        <v/>
      </c>
    </row>
    <row r="17">
      <c r="A17" s="8" t="inlineStr">
        <is>
          <t>Total</t>
        </is>
      </c>
      <c r="C17" s="7">
        <f>SUM(C7:C16)</f>
        <v/>
      </c>
      <c r="D17" s="7">
        <f>SUM(D7:D16)</f>
        <v/>
      </c>
      <c r="E17" s="7">
        <f>SUM(E7:E16)</f>
        <v/>
      </c>
      <c r="F17" s="7">
        <f>SUM(F7:F16)</f>
        <v/>
      </c>
      <c r="G17" s="7">
        <f>SUM(G7:G16)</f>
        <v/>
      </c>
      <c r="H17" s="7">
        <f>SUM(H7:H16)</f>
        <v/>
      </c>
    </row>
    <row r="18">
      <c r="A18" t="inlineStr">
        <is>
          <t>Passivo divulgado (nota 28)</t>
        </is>
      </c>
      <c r="C18" s="5" t="n">
        <v>682705</v>
      </c>
    </row>
    <row r="19">
      <c r="A19" t="inlineStr">
        <is>
          <t>Variação vs taxa divulgada (12,92%)</t>
        </is>
      </c>
      <c r="D19" s="7">
        <f>D17-$F$17</f>
        <v/>
      </c>
      <c r="E19" s="7">
        <f>E17-$F$17</f>
        <v/>
      </c>
      <c r="F19" s="7">
        <f>F17-$F$17</f>
        <v/>
      </c>
      <c r="G19" s="7">
        <f>G17-$F$17</f>
        <v/>
      </c>
      <c r="H19" s="7">
        <f>H17-$F$17</f>
        <v/>
      </c>
    </row>
    <row r="20">
      <c r="A20" t="inlineStr">
        <is>
          <t>Variação / materialidade para execução</t>
        </is>
      </c>
      <c r="D20" s="9">
        <f>D19/17400.0</f>
        <v/>
      </c>
      <c r="E20" s="9">
        <f>E19/17400.0</f>
        <v/>
      </c>
      <c r="F20" s="9">
        <f>F19/17400.0</f>
        <v/>
      </c>
      <c r="G20" s="9">
        <f>G19/17400.0</f>
        <v/>
      </c>
      <c r="H20" s="9">
        <f>H19/17400.0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30" customWidth="1" min="4" max="4"/>
  </cols>
  <sheetData>
    <row r="1">
      <c r="A1" s="1" t="inlineStr">
        <is>
          <t>PT 540 - Provisão para perdas de estoques: revisão retrospectiva e cenários (R$ mil)</t>
        </is>
      </c>
    </row>
    <row r="2">
      <c r="A2" s="2" t="inlineStr">
        <is>
          <t>Realizado com evidência pública</t>
        </is>
      </c>
    </row>
    <row r="3">
      <c r="A3" s="3" t="inlineStr">
        <is>
          <t>Preparadora: Rafaela de Sousa Barbosa - matrícula 241003384 | Data: 22/10/2026 | Conteúdo produzido com IA (ver README) | Revisão: ____________ (campo não preenchido)</t>
        </is>
      </c>
    </row>
    <row r="5">
      <c r="A5" t="inlineStr">
        <is>
          <t>Saldo da provisão 31/12/2025 (nota 7.3)</t>
        </is>
      </c>
      <c r="B5" s="5" t="n">
        <v>4688</v>
      </c>
      <c r="C5" t="inlineStr">
        <is>
          <t>DF25 p.31</t>
        </is>
      </c>
    </row>
    <row r="6">
      <c r="A6" t="inlineStr">
        <is>
          <t>Reversões no 1S26 (ITR 2T26 nota 5.2)</t>
        </is>
      </c>
      <c r="B6" s="5" t="n">
        <v>4472</v>
      </c>
      <c r="C6" t="inlineStr">
        <is>
          <t>ITR2 p.14</t>
        </is>
      </c>
    </row>
    <row r="7">
      <c r="A7" t="inlineStr">
        <is>
          <t>Complementos no 1S26</t>
        </is>
      </c>
      <c r="B7" s="5" t="n">
        <v>2243</v>
      </c>
      <c r="C7" t="inlineStr">
        <is>
          <t>ITR2 p.14</t>
        </is>
      </c>
    </row>
    <row r="8">
      <c r="A8" t="inlineStr">
        <is>
          <t>Saldo 30/06/2026</t>
        </is>
      </c>
      <c r="B8" s="5" t="n">
        <v>2459</v>
      </c>
      <c r="C8" t="inlineStr">
        <is>
          <t>ITR2 p.14</t>
        </is>
      </c>
    </row>
    <row r="9">
      <c r="A9" t="inlineStr">
        <is>
          <t>Estoque líquido 31/12/2025</t>
        </is>
      </c>
      <c r="B9" s="5" t="n">
        <v>1478926</v>
      </c>
      <c r="C9" t="inlineStr">
        <is>
          <t>DF25 p.19</t>
        </is>
      </c>
    </row>
    <row r="11">
      <c r="A11" t="inlineStr">
        <is>
          <t>% revertido no 1S26</t>
        </is>
      </c>
      <c r="B11" s="9">
        <f>B6/B5</f>
        <v/>
      </c>
    </row>
    <row r="12">
      <c r="A12" t="inlineStr">
        <is>
          <t>Estoque bruto</t>
        </is>
      </c>
      <c r="B12" s="7">
        <f>B9+B5</f>
        <v/>
      </c>
    </row>
    <row r="13">
      <c r="A13" t="inlineStr">
        <is>
          <t>Provisão / estoque bruto</t>
        </is>
      </c>
      <c r="B13" s="20">
        <f>B5/B12</f>
        <v/>
      </c>
    </row>
    <row r="15">
      <c r="A15" s="4" t="inlineStr">
        <is>
          <t>Cenário: provisão como % do estoque bruto</t>
        </is>
      </c>
      <c r="B15" s="4" t="inlineStr">
        <is>
          <t>%</t>
        </is>
      </c>
      <c r="C15" s="4" t="inlineStr">
        <is>
          <t>Provisão</t>
        </is>
      </c>
      <c r="D15" s="4" t="inlineStr">
        <is>
          <t>Efeito no resultado (antes de IR)</t>
        </is>
      </c>
    </row>
    <row r="16">
      <c r="A16" t="inlineStr">
        <is>
          <t>Cenário 1</t>
        </is>
      </c>
      <c r="B16" s="6" t="n">
        <v>0.005</v>
      </c>
      <c r="C16" s="7">
        <f>$B$12*B16</f>
        <v/>
      </c>
      <c r="D16" s="7">
        <f>-(C16-$B$5)</f>
        <v/>
      </c>
    </row>
    <row r="17">
      <c r="A17" t="inlineStr">
        <is>
          <t>Cenário 2</t>
        </is>
      </c>
      <c r="B17" s="6" t="n">
        <v>0.01</v>
      </c>
      <c r="C17" s="7">
        <f>$B$12*B17</f>
        <v/>
      </c>
      <c r="D17" s="7">
        <f>-(C17-$B$5)</f>
        <v/>
      </c>
    </row>
    <row r="18">
      <c r="A18" t="inlineStr">
        <is>
          <t>Cenário 3</t>
        </is>
      </c>
      <c r="B18" s="6" t="n">
        <v>0.02</v>
      </c>
      <c r="C18" s="7">
        <f>$B$12*B18</f>
        <v/>
      </c>
      <c r="D18" s="7">
        <f>-(C18-$B$5)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34" customWidth="1" min="4" max="4"/>
  </cols>
  <sheetData>
    <row r="1">
      <c r="A1" s="1" t="inlineStr">
        <is>
          <t>PT 570 - Indicadores de liquidez e endividamento (R$ mil)</t>
        </is>
      </c>
    </row>
    <row r="2">
      <c r="A2" s="2" t="inlineStr">
        <is>
          <t>NBC TA 570 itens 10-16, A3 | Realizado com evidência pública</t>
        </is>
      </c>
    </row>
    <row r="3">
      <c r="A3" s="3" t="inlineStr">
        <is>
          <t>Preparadora: Rafaela de Sousa Barbosa - matrícula 241003384 | Data: 22/10/2026 | Conteúdo produzido com IA (ver README) | Revisão: ____________ (campo não preenchido)</t>
        </is>
      </c>
    </row>
    <row r="5">
      <c r="A5" s="4" t="inlineStr">
        <is>
          <t>Item</t>
        </is>
      </c>
      <c r="B5" s="4" t="inlineStr">
        <is>
          <t>31/12/2025</t>
        </is>
      </c>
      <c r="C5" s="4" t="inlineStr">
        <is>
          <t>31/12/2024</t>
        </is>
      </c>
      <c r="D5" s="4" t="inlineStr">
        <is>
          <t>Fonte</t>
        </is>
      </c>
    </row>
    <row r="6">
      <c r="A6" t="inlineStr">
        <is>
          <t>Ativo circulante</t>
        </is>
      </c>
      <c r="B6" s="5" t="n">
        <v>3064599</v>
      </c>
      <c r="C6" s="5" t="n">
        <v>2781888</v>
      </c>
      <c r="D6" t="inlineStr">
        <is>
          <t>DF25 p.19/20/23; nota 15.1 p.40</t>
        </is>
      </c>
    </row>
    <row r="7">
      <c r="A7" t="inlineStr">
        <is>
          <t>Estoques</t>
        </is>
      </c>
      <c r="B7" s="5" t="n">
        <v>1478926</v>
      </c>
      <c r="C7" s="5" t="n">
        <v>1332578</v>
      </c>
      <c r="D7" t="inlineStr">
        <is>
          <t>DF25 p.19/20/23; nota 15.1 p.40</t>
        </is>
      </c>
    </row>
    <row r="8">
      <c r="A8" t="inlineStr">
        <is>
          <t>Caixa e equivalentes + TVM</t>
        </is>
      </c>
      <c r="B8" s="5" t="n">
        <v>398644</v>
      </c>
      <c r="C8" s="5" t="n">
        <v>282683</v>
      </c>
      <c r="D8" t="inlineStr">
        <is>
          <t>DF25 p.19/20/23; nota 15.1 p.40</t>
        </is>
      </c>
    </row>
    <row r="9">
      <c r="A9" t="inlineStr">
        <is>
          <t>Passivo circulante</t>
        </is>
      </c>
      <c r="B9" s="5" t="n">
        <v>843949</v>
      </c>
      <c r="C9" s="5" t="n">
        <v>995687</v>
      </c>
      <c r="D9" t="inlineStr">
        <is>
          <t>DF25 p.19/20/23; nota 15.1 p.40</t>
        </is>
      </c>
    </row>
    <row r="10">
      <c r="A10" t="inlineStr">
        <is>
          <t>Passivo não circulante</t>
        </is>
      </c>
      <c r="B10" s="5" t="n">
        <v>929179</v>
      </c>
      <c r="C10" s="5" t="n">
        <v>781101</v>
      </c>
      <c r="D10" t="inlineStr">
        <is>
          <t>DF25 p.19/20/23; nota 15.1 p.40</t>
        </is>
      </c>
    </row>
    <row r="11">
      <c r="A11" t="inlineStr">
        <is>
          <t>Ativo total</t>
        </is>
      </c>
      <c r="B11" s="5" t="n">
        <v>4722692</v>
      </c>
      <c r="C11" s="5" t="n">
        <v>4273730</v>
      </c>
      <c r="D11" t="inlineStr">
        <is>
          <t>DF25 p.19/20/23; nota 15.1 p.40</t>
        </is>
      </c>
    </row>
    <row r="12">
      <c r="A12" t="inlineStr">
        <is>
          <t>Patrimônio líquido</t>
        </is>
      </c>
      <c r="B12" s="5" t="n">
        <v>2949564</v>
      </c>
      <c r="C12" s="5" t="n">
        <v>2496942</v>
      </c>
      <c r="D12" t="inlineStr">
        <is>
          <t>DF25 p.19/20/23; nota 15.1 p.40</t>
        </is>
      </c>
    </row>
    <row r="13">
      <c r="A13" t="inlineStr">
        <is>
          <t>Dívida bruta líquida de derivativos (nota 15.1)</t>
        </is>
      </c>
      <c r="B13" s="5" t="n">
        <v>554005</v>
      </c>
      <c r="C13" s="5" t="n">
        <v>397285</v>
      </c>
      <c r="D13" t="inlineStr">
        <is>
          <t>DF25 p.19/20/23; nota 15.1 p.40</t>
        </is>
      </c>
    </row>
    <row r="14">
      <c r="A14" t="inlineStr">
        <is>
          <t>Lucro antes do resultado financeiro</t>
        </is>
      </c>
      <c r="B14" s="5" t="n">
        <v>726322</v>
      </c>
      <c r="C14" s="5" t="n">
        <v>683585</v>
      </c>
      <c r="D14" t="inlineStr">
        <is>
          <t>DF25 p.19/20/23; nota 15.1 p.40</t>
        </is>
      </c>
    </row>
    <row r="15">
      <c r="A15" t="inlineStr">
        <is>
          <t>Depreciação e amortização (DFC)</t>
        </is>
      </c>
      <c r="B15" s="5" t="n">
        <v>162855</v>
      </c>
      <c r="C15" s="5" t="n">
        <v>154530</v>
      </c>
      <c r="D15" t="inlineStr">
        <is>
          <t>DF25 p.19/20/23; nota 15.1 p.40</t>
        </is>
      </c>
    </row>
    <row r="16">
      <c r="A16" t="inlineStr">
        <is>
          <t>Caixa líquido das atividades operacionais</t>
        </is>
      </c>
      <c r="B16" s="5" t="n">
        <v>468870</v>
      </c>
      <c r="C16" s="5" t="n">
        <v>150682</v>
      </c>
      <c r="D16" t="inlineStr">
        <is>
          <t>DF25 p.19/20/23; nota 15.1 p.40</t>
        </is>
      </c>
    </row>
    <row r="18">
      <c r="A18" s="8" t="inlineStr">
        <is>
          <t>Liquidez corrente</t>
        </is>
      </c>
      <c r="B18" s="21">
        <f>B6/B9</f>
        <v/>
      </c>
      <c r="C18" s="21">
        <f>C6/C9</f>
        <v/>
      </c>
    </row>
    <row r="19">
      <c r="A19" s="8" t="inlineStr">
        <is>
          <t>Liquidez seca</t>
        </is>
      </c>
      <c r="B19" s="21">
        <f>(B6-B7)/B9</f>
        <v/>
      </c>
      <c r="C19" s="21">
        <f>(C6-C7)/C9</f>
        <v/>
      </c>
    </row>
    <row r="20">
      <c r="A20" s="8" t="inlineStr">
        <is>
          <t>Liquidez imediata</t>
        </is>
      </c>
      <c r="B20" s="21">
        <f>B8/B9</f>
        <v/>
      </c>
      <c r="C20" s="21">
        <f>C8/C9</f>
        <v/>
      </c>
    </row>
    <row r="21">
      <c r="A21" s="8" t="inlineStr">
        <is>
          <t>Endividamento geral (PC+PNC)/AT</t>
        </is>
      </c>
      <c r="B21" s="9">
        <f>(B9+B10)/B11</f>
        <v/>
      </c>
      <c r="C21" s="9">
        <f>(C9+C10)/C11</f>
        <v/>
      </c>
    </row>
    <row r="22">
      <c r="A22" s="8" t="inlineStr">
        <is>
          <t>Dívida líquida</t>
        </is>
      </c>
      <c r="B22" s="7">
        <f>B13-B8</f>
        <v/>
      </c>
      <c r="C22" s="7">
        <f>C13-C8</f>
        <v/>
      </c>
    </row>
    <row r="23">
      <c r="A23" s="8" t="inlineStr">
        <is>
          <t>LAJIDA calculado</t>
        </is>
      </c>
      <c r="B23" s="7">
        <f>B14+B15</f>
        <v/>
      </c>
      <c r="C23" s="7">
        <f>C14+C15</f>
        <v/>
      </c>
    </row>
    <row r="24">
      <c r="A24" s="8" t="inlineStr">
        <is>
          <t>Dívida líquida / LAJIDA</t>
        </is>
      </c>
      <c r="B24" s="21">
        <f>(B13-B8)/(B14+B15)</f>
        <v/>
      </c>
      <c r="C24" s="21">
        <f>(C13-C8)/(C14+C15)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16" customWidth="1" min="4" max="4"/>
    <col width="12" customWidth="1" min="5" max="5"/>
    <col width="18" customWidth="1" min="6" max="6"/>
    <col width="52" customWidth="1" min="7" max="7"/>
  </cols>
  <sheetData>
    <row r="1">
      <c r="A1" s="1" t="inlineStr">
        <is>
          <t>PT 600 - Componentes do grupo e materialidade de componentes (R$ mil)</t>
        </is>
      </c>
    </row>
    <row r="2">
      <c r="A2" s="2" t="inlineStr">
        <is>
          <t>NBC TA 600 (R2) | Realizado com evidência pública (nota 9.2)</t>
        </is>
      </c>
    </row>
    <row r="3">
      <c r="A3" s="3" t="inlineStr">
        <is>
          <t>Preparadora: Rafaela de Sousa Barbosa - matrícula 241003384 | Data: 22/10/2026 | Conteúdo produzido com IA (ver README) | Revisão: ____________ (campo não preenchido)</t>
        </is>
      </c>
    </row>
    <row r="5">
      <c r="A5" s="4" t="inlineStr">
        <is>
          <t>Componente</t>
        </is>
      </c>
      <c r="B5" s="4" t="inlineStr">
        <is>
          <t>Ativo total</t>
        </is>
      </c>
      <c r="C5" s="4" t="inlineStr">
        <is>
          <t>% soma ativos</t>
        </is>
      </c>
      <c r="D5" s="4" t="inlineStr">
        <is>
          <t>Lucro/prejuízo</t>
        </is>
      </c>
      <c r="E5" s="4" t="inlineStr">
        <is>
          <t>% |lucro|</t>
        </is>
      </c>
      <c r="F5" s="4" t="inlineStr">
        <is>
          <t>ME do componente</t>
        </is>
      </c>
      <c r="G5" s="4" t="inlineStr">
        <is>
          <t>Classificação</t>
        </is>
      </c>
    </row>
    <row r="6">
      <c r="A6" t="inlineStr">
        <is>
          <t>Tellerina</t>
        </is>
      </c>
      <c r="B6" s="5" t="n">
        <v>5360640</v>
      </c>
      <c r="C6" s="9">
        <f>B6/SUM($B$6:$B$8)</f>
        <v/>
      </c>
      <c r="D6" s="5" t="n">
        <v>-67090</v>
      </c>
      <c r="E6" s="9">
        <f>ABS(D6)/SUMPRODUCT(ABS($D$6:$D$8))</f>
        <v/>
      </c>
      <c r="F6" s="7" t="n">
        <v>12000</v>
      </c>
      <c r="G6" t="inlineStr">
        <is>
          <t>Significativo (varejo, estoques nas lojas)</t>
        </is>
      </c>
    </row>
    <row r="7">
      <c r="A7" t="inlineStr">
        <is>
          <t>Conipa</t>
        </is>
      </c>
      <c r="B7" s="5" t="n">
        <v>4114502</v>
      </c>
      <c r="C7" s="9">
        <f>B7/SUM($B$6:$B$8)</f>
        <v/>
      </c>
      <c r="D7" s="5" t="n">
        <v>874926</v>
      </c>
      <c r="E7" s="9">
        <f>ABS(D7)/SUMPRODUCT(ABS($D$6:$D$8))</f>
        <v/>
      </c>
      <c r="F7" s="7" t="n">
        <v>12000</v>
      </c>
      <c r="G7" t="inlineStr">
        <is>
          <t>Significativo (fábrica, matérias-primas, incentivos)</t>
        </is>
      </c>
    </row>
    <row r="8">
      <c r="A8" t="inlineStr">
        <is>
          <t>Tellerina Panama</t>
        </is>
      </c>
      <c r="B8" s="5" t="n">
        <v>17650</v>
      </c>
      <c r="C8" s="9">
        <f>B8/SUM($B$6:$B$8)</f>
        <v/>
      </c>
      <c r="D8" s="5" t="n">
        <v>-1484</v>
      </c>
      <c r="E8" s="9">
        <f>ABS(D8)/SUMPRODUCT(ABS($D$6:$D$8))</f>
        <v/>
      </c>
      <c r="F8" s="7" t="n">
        <v>3000</v>
      </c>
      <c r="G8" t="inlineStr">
        <is>
          <t>Não significativo - procedimentos analíticos no nível do grupo</t>
        </is>
      </c>
    </row>
    <row r="9">
      <c r="A9" t="inlineStr">
        <is>
          <t>Controladora (holding)</t>
        </is>
      </c>
      <c r="F9" s="7" t="n">
        <v>6000</v>
      </c>
      <c r="G9" t="inlineStr">
        <is>
          <t>Auditada diretamente pela equipe do grupo</t>
        </is>
      </c>
    </row>
    <row r="11">
      <c r="A11" t="inlineStr">
        <is>
          <t>ME do grupo</t>
        </is>
      </c>
      <c r="F11" s="7" t="n">
        <v>17400</v>
      </c>
    </row>
    <row r="12">
      <c r="A12" t="inlineStr">
        <is>
          <t>Lucro não realizado nos estoques - base IR diferido 2025 (nota 20.9)</t>
        </is>
      </c>
      <c r="F12" s="7" t="n">
        <v>1293806</v>
      </c>
    </row>
    <row r="13">
      <c r="A13" t="inlineStr">
        <is>
          <t>Lucro não realizado - base 2024</t>
        </is>
      </c>
      <c r="F13" s="7" t="n">
        <v>1029612</v>
      </c>
    </row>
    <row r="14">
      <c r="A14" t="inlineStr">
        <is>
          <t>Variação</t>
        </is>
      </c>
      <c r="F14" s="7">
        <f>F12-F13</f>
        <v/>
      </c>
    </row>
    <row r="15">
      <c r="A15" t="inlineStr">
        <is>
          <t>Eliminação do LNR na equivalência 2025 (nota 9.3)</t>
        </is>
      </c>
      <c r="F15" s="7" t="n">
        <v>-264234</v>
      </c>
    </row>
    <row r="16">
      <c r="A16" t="inlineStr">
        <is>
          <t>Diferença (variação da base x eliminação do exercício)</t>
        </is>
      </c>
      <c r="F16" s="7">
        <f>F14+F15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2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34" customWidth="1" min="10" max="10"/>
    <col width="30" customWidth="1" min="11" max="11"/>
  </cols>
  <sheetData>
    <row r="1">
      <c r="A1" s="1" t="inlineStr">
        <is>
          <t>PT 505 - Controle de circularização (MODELO - NENHUMA SOLICITAÇÃO FOI ENVIADA)</t>
        </is>
      </c>
    </row>
    <row r="2">
      <c r="A2" s="2" t="inlineStr">
        <is>
          <t>NBC TA 505 itens 7-16 | Planejado por falta de acesso</t>
        </is>
      </c>
    </row>
    <row r="3">
      <c r="A3" s="3" t="inlineStr">
        <is>
          <t>Preparadora: Rafaela de Sousa Barbosa - matrícula 241003384 | Data: 22/10/2026 | Conteúdo produzido com IA (ver README) | Revisão: ____________ (campo não preenchido)</t>
        </is>
      </c>
    </row>
    <row r="5">
      <c r="A5" s="4" t="inlineStr">
        <is>
          <t>Ref.</t>
        </is>
      </c>
      <c r="B5" s="4" t="inlineStr">
        <is>
          <t>Parte a confirmar</t>
        </is>
      </c>
      <c r="C5" s="4" t="inlineStr">
        <is>
          <t>Saldo/assunto a confirmar (R$ mil)</t>
        </is>
      </c>
      <c r="D5" s="4" t="inlineStr">
        <is>
          <t>Fonte do saldo</t>
        </is>
      </c>
      <c r="E5" s="4" t="inlineStr">
        <is>
          <t>Tipo</t>
        </is>
      </c>
      <c r="F5" s="4" t="inlineStr">
        <is>
          <t>Data de envio</t>
        </is>
      </c>
      <c r="G5" s="4" t="inlineStr">
        <is>
          <t>Data de resposta</t>
        </is>
      </c>
      <c r="H5" s="4" t="inlineStr">
        <is>
          <t>Saldo confirmado</t>
        </is>
      </c>
      <c r="I5" s="4" t="inlineStr">
        <is>
          <t>Diferença</t>
        </is>
      </c>
      <c r="J5" s="4" t="inlineStr">
        <is>
          <t>Procedimento alternativo</t>
        </is>
      </c>
      <c r="K5" s="4" t="inlineStr">
        <is>
          <t>Status</t>
        </is>
      </c>
    </row>
    <row r="6">
      <c r="A6" t="inlineStr">
        <is>
          <t>C01</t>
        </is>
      </c>
      <c r="B6" t="inlineStr">
        <is>
          <t>Banco Santander (Brasil) S.A. - empréstimo Res. 4131 e swap</t>
        </is>
      </c>
      <c r="C6" t="inlineStr">
        <is>
          <t>218.572 + swap passivo 22.729</t>
        </is>
      </c>
      <c r="D6" t="inlineStr">
        <is>
          <t>DF25 nota 15.1 p.40</t>
        </is>
      </c>
      <c r="E6" t="inlineStr">
        <is>
          <t>Positiva</t>
        </is>
      </c>
      <c r="F6" t="inlineStr">
        <is>
          <t>não enviado</t>
        </is>
      </c>
      <c r="G6" t="inlineStr">
        <is>
          <t>-</t>
        </is>
      </c>
      <c r="J6" t="inlineStr">
        <is>
          <t>Ver PT 505 (procedimentos alternativos)</t>
        </is>
      </c>
      <c r="K6" t="inlineStr">
        <is>
          <t>Planejado - não enviado (didático)</t>
        </is>
      </c>
    </row>
    <row r="7">
      <c r="A7" t="inlineStr">
        <is>
          <t>C02</t>
        </is>
      </c>
      <c r="B7" t="inlineStr">
        <is>
          <t>Vórtx DTVM (agente fiduciário) - 1ª emissão de debêntures</t>
        </is>
      </c>
      <c r="C7" t="inlineStr">
        <is>
          <t>312.704</t>
        </is>
      </c>
      <c r="D7" t="inlineStr">
        <is>
          <t>DF25 nota 15.1-15.2 p.40</t>
        </is>
      </c>
      <c r="E7" t="inlineStr">
        <is>
          <t>Positiva</t>
        </is>
      </c>
      <c r="F7" t="inlineStr">
        <is>
          <t>não enviado</t>
        </is>
      </c>
      <c r="G7" t="inlineStr">
        <is>
          <t>-</t>
        </is>
      </c>
      <c r="J7" t="inlineStr">
        <is>
          <t>Ver PT 505 (procedimentos alternativos)</t>
        </is>
      </c>
      <c r="K7" t="inlineStr">
        <is>
          <t>Planejado - não enviado (didático)</t>
        </is>
      </c>
    </row>
    <row r="8">
      <c r="A8" t="inlineStr">
        <is>
          <t>C03</t>
        </is>
      </c>
      <c r="B8" t="inlineStr">
        <is>
          <t>Banco Itaú BBA S.A. - confirmação de liquidação dos contratos de capital de giro</t>
        </is>
      </c>
      <c r="C8" t="inlineStr">
        <is>
          <t>0 (liquidados out/2025)</t>
        </is>
      </c>
      <c r="D8" t="inlineStr">
        <is>
          <t>DF25 nota 15.1 (a) p.40</t>
        </is>
      </c>
      <c r="E8" t="inlineStr">
        <is>
          <t>Positiva</t>
        </is>
      </c>
      <c r="F8" t="inlineStr">
        <is>
          <t>não enviado</t>
        </is>
      </c>
      <c r="G8" t="inlineStr">
        <is>
          <t>-</t>
        </is>
      </c>
      <c r="J8" t="inlineStr">
        <is>
          <t>Ver PT 505 (procedimentos alternativos)</t>
        </is>
      </c>
      <c r="K8" t="inlineStr">
        <is>
          <t>Planejado - não enviado (didático)</t>
        </is>
      </c>
    </row>
    <row r="9">
      <c r="A9" t="inlineStr">
        <is>
          <t>C04</t>
        </is>
      </c>
      <c r="B9" t="inlineStr">
        <is>
          <t>Instituições financeiras - caixa, aplicações compromissadas e letras financeiras</t>
        </is>
      </c>
      <c r="C9" t="inlineStr">
        <is>
          <t>398.644</t>
        </is>
      </c>
      <c r="D9" t="inlineStr">
        <is>
          <t>DF25 nota 5.2-5.3 p.29</t>
        </is>
      </c>
      <c r="E9" t="inlineStr">
        <is>
          <t>Positiva (nomes a obter)</t>
        </is>
      </c>
      <c r="F9" t="inlineStr">
        <is>
          <t>não enviado</t>
        </is>
      </c>
      <c r="G9" t="inlineStr">
        <is>
          <t>-</t>
        </is>
      </c>
      <c r="J9" t="inlineStr">
        <is>
          <t>Ver PT 505 (procedimentos alternativos)</t>
        </is>
      </c>
      <c r="K9" t="inlineStr">
        <is>
          <t>Planejado - não enviado (didático)</t>
        </is>
      </c>
    </row>
    <row r="10">
      <c r="A10" t="inlineStr">
        <is>
          <t>C05</t>
        </is>
      </c>
      <c r="B10" t="inlineStr">
        <is>
          <t>Adquirentes/operadoras de cartão - recebíveis</t>
        </is>
      </c>
      <c r="C10" t="inlineStr">
        <is>
          <t>986.130</t>
        </is>
      </c>
      <c r="D10" t="inlineStr">
        <is>
          <t>DF25 nota 6.2 p.29</t>
        </is>
      </c>
      <c r="E10" t="inlineStr">
        <is>
          <t>Positiva (nomes a obter)</t>
        </is>
      </c>
      <c r="F10" t="inlineStr">
        <is>
          <t>não enviado</t>
        </is>
      </c>
      <c r="G10" t="inlineStr">
        <is>
          <t>-</t>
        </is>
      </c>
      <c r="J10" t="inlineStr">
        <is>
          <t>Ver PT 505 (procedimentos alternativos)</t>
        </is>
      </c>
      <c r="K10" t="inlineStr">
        <is>
          <t>Planejado - não enviado (didático)</t>
        </is>
      </c>
    </row>
    <row r="11">
      <c r="A11" t="inlineStr">
        <is>
          <t>C06</t>
        </is>
      </c>
      <c r="B11" t="inlineStr">
        <is>
          <t>Instituições do convênio com fornecedores (Itaú/Santander)</t>
        </is>
      </c>
      <c r="C11" t="inlineStr">
        <is>
          <t>4.610</t>
        </is>
      </c>
      <c r="D11" t="inlineStr">
        <is>
          <t>DF25 nota 12.2 p.38</t>
        </is>
      </c>
      <c r="E11" t="inlineStr">
        <is>
          <t>Positiva</t>
        </is>
      </c>
      <c r="F11" t="inlineStr">
        <is>
          <t>não enviado</t>
        </is>
      </c>
      <c r="G11" t="inlineStr">
        <is>
          <t>-</t>
        </is>
      </c>
      <c r="J11" t="inlineStr">
        <is>
          <t>Ver PT 505 (procedimentos alternativos)</t>
        </is>
      </c>
      <c r="K11" t="inlineStr">
        <is>
          <t>Planejado - não enviado (didático)</t>
        </is>
      </c>
    </row>
    <row r="12">
      <c r="A12" t="inlineStr">
        <is>
          <t>C07</t>
        </is>
      </c>
      <c r="B12" t="inlineStr">
        <is>
          <t>Fornecedores nacionais e estrangeiros (amostra)</t>
        </is>
      </c>
      <c r="C12" t="inlineStr">
        <is>
          <t>117.227</t>
        </is>
      </c>
      <c r="D12" t="inlineStr">
        <is>
          <t>DF25 nota 12.1 p.38</t>
        </is>
      </c>
      <c r="E12" t="inlineStr">
        <is>
          <t>Positiva em branco</t>
        </is>
      </c>
      <c r="F12" t="inlineStr">
        <is>
          <t>não enviado</t>
        </is>
      </c>
      <c r="G12" t="inlineStr">
        <is>
          <t>-</t>
        </is>
      </c>
      <c r="J12" t="inlineStr">
        <is>
          <t>Ver PT 505 (procedimentos alternativos)</t>
        </is>
      </c>
      <c r="K12" t="inlineStr">
        <is>
          <t>Planejado - não enviado (didático)</t>
        </is>
      </c>
    </row>
    <row r="13">
      <c r="A13" t="inlineStr">
        <is>
          <t>C08</t>
        </is>
      </c>
      <c r="B13" t="inlineStr">
        <is>
          <t>Assessores jurídicos (cíveis, trabalhistas, tributários)</t>
        </is>
      </c>
      <c r="C13" t="inlineStr">
        <is>
          <t>Provisões 26.937; possíveis 382.523</t>
        </is>
      </c>
      <c r="D13" t="inlineStr">
        <is>
          <t>DF25 nota 17 p.41-45</t>
        </is>
      </c>
      <c r="E13" t="inlineStr">
        <is>
          <t>Carta a advogados</t>
        </is>
      </c>
      <c r="F13" t="inlineStr">
        <is>
          <t>não enviado</t>
        </is>
      </c>
      <c r="G13" t="inlineStr">
        <is>
          <t>-</t>
        </is>
      </c>
      <c r="J13" t="inlineStr">
        <is>
          <t>Ver PT 505 (procedimentos alternativos)</t>
        </is>
      </c>
      <c r="K13" t="inlineStr">
        <is>
          <t>Planejado - não enviado (didático)</t>
        </is>
      </c>
    </row>
    <row r="14">
      <c r="A14" t="inlineStr">
        <is>
          <t>C09</t>
        </is>
      </c>
      <c r="B14" t="inlineStr">
        <is>
          <t>Itaú Corretora (escriturador) - ações em tesouraria</t>
        </is>
      </c>
      <c r="C14" t="inlineStr">
        <is>
          <t>1.125.955 ações</t>
        </is>
      </c>
      <c r="D14" t="inlineStr">
        <is>
          <t>DF25 nota 18.2 p.45; FCA p.6</t>
        </is>
      </c>
      <c r="E14" t="inlineStr">
        <is>
          <t>Positiva</t>
        </is>
      </c>
      <c r="F14" t="inlineStr">
        <is>
          <t>não enviado</t>
        </is>
      </c>
      <c r="G14" t="inlineStr">
        <is>
          <t>-</t>
        </is>
      </c>
      <c r="J14" t="inlineStr">
        <is>
          <t>Ver PT 505 (procedimentos alternativos)</t>
        </is>
      </c>
      <c r="K14" t="inlineStr">
        <is>
          <t>Planejado - não enviado (didático)</t>
        </is>
      </c>
    </row>
    <row r="15">
      <c r="A15" t="inlineStr">
        <is>
          <t>C10</t>
        </is>
      </c>
      <c r="B15" t="inlineStr">
        <is>
          <t>Terceiros depositários / estoques em poder de terceiros (se houver)</t>
        </is>
      </c>
      <c r="C15" t="inlineStr">
        <is>
          <t>a identificar</t>
        </is>
      </c>
      <c r="D15" t="inlineStr">
        <is>
          <t>DF25 nota 7</t>
        </is>
      </c>
      <c r="E15" t="inlineStr">
        <is>
          <t>Positiva</t>
        </is>
      </c>
      <c r="F15" t="inlineStr">
        <is>
          <t>não enviado</t>
        </is>
      </c>
      <c r="G15" t="inlineStr">
        <is>
          <t>-</t>
        </is>
      </c>
      <c r="J15" t="inlineStr">
        <is>
          <t>Ver PT 505 (procedimentos alternativos)</t>
        </is>
      </c>
      <c r="K15" t="inlineStr">
        <is>
          <t>Planejado - não enviado (didático)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2026-10-23T18:12:23Z</dcterms:created>
  <dcterms:modified xmlns:dcterms="http://purl.org/dc/terms/" xmlns:xsi="http://www.w3.org/2001/XMLSchema-instance" xsi:type="dcterms:W3CDTF">2026-10-23T18:12:23Z</dcterms:modified>
</cp:coreProperties>
</file>